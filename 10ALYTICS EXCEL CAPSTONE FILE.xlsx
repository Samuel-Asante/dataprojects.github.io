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ml.chartshapes+xml"/>
  <Override PartName="/xl/tables/table1.xml" ContentType="application/vnd.openxmlformats-officedocument.spreadsheetml.table+xml"/>
  <Override PartName="/xl/drawings/drawing6.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7.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Users\samak\Documents\"/>
    </mc:Choice>
  </mc:AlternateContent>
  <xr:revisionPtr revIDLastSave="0" documentId="13_ncr:1_{F0517970-7595-4DFB-9A81-DF544E304A51}" xr6:coauthVersionLast="47" xr6:coauthVersionMax="47" xr10:uidLastSave="{00000000-0000-0000-0000-000000000000}"/>
  <bookViews>
    <workbookView xWindow="28680" yWindow="-120" windowWidth="38640" windowHeight="21240" activeTab="6" xr2:uid="{00000000-000D-0000-FFFF-FFFF00000000}"/>
  </bookViews>
  <sheets>
    <sheet name="Expenses By Month" sheetId="2" r:id="rId1"/>
    <sheet name="BudJect v Actual" sheetId="7" r:id="rId2"/>
    <sheet name="Expenses by Catagory" sheetId="3" r:id="rId3"/>
    <sheet name="Count of Spend on Expense Categ" sheetId="4" r:id="rId4"/>
    <sheet name="Expenses V Income" sheetId="5" r:id="rId5"/>
    <sheet name="Raw Data for Dashboard" sheetId="1" r:id="rId6"/>
    <sheet name="Dashboard  " sheetId="6" r:id="rId7"/>
  </sheets>
  <definedNames>
    <definedName name="_xlnm._FilterDatabase" localSheetId="5" hidden="1">'Raw Data for Dashboard'!$B$2:$G$74</definedName>
    <definedName name="Slicer_Category">#N/A</definedName>
    <definedName name="Slicer_Months__Date">#N/A</definedName>
    <definedName name="Slicer_Payment_Method">#N/A</definedName>
  </definedNames>
  <calcPr calcId="191029"/>
  <pivotCaches>
    <pivotCache cacheId="17" r:id="rId8"/>
  </pivotCaches>
  <fileRecoveryPr repairLoad="1"/>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6" i="7" l="1"/>
  <c r="H6" i="7" s="1"/>
  <c r="G7" i="7"/>
  <c r="H7" i="7" s="1"/>
  <c r="G8" i="7"/>
  <c r="H8" i="7" s="1"/>
  <c r="G9" i="7"/>
  <c r="H9" i="7" s="1"/>
  <c r="G5" i="7"/>
  <c r="H5" i="7" s="1"/>
  <c r="H5" i="1" l="1"/>
  <c r="H6" i="1" s="1"/>
  <c r="H7" i="1" s="1"/>
  <c r="H8" i="1" s="1"/>
  <c r="H9" i="1" s="1"/>
  <c r="H10" i="1" s="1"/>
  <c r="H11" i="1" s="1"/>
  <c r="H12" i="1" s="1"/>
  <c r="H13" i="1" s="1"/>
  <c r="H14" i="1" s="1"/>
  <c r="H15" i="1" s="1"/>
  <c r="H16" i="1" s="1"/>
  <c r="H17" i="1" s="1"/>
  <c r="H18" i="1" s="1"/>
  <c r="H19" i="1" s="1"/>
  <c r="H20" i="1" s="1"/>
  <c r="H21" i="1" s="1"/>
  <c r="H22" i="1" s="1"/>
  <c r="H23" i="1" s="1"/>
  <c r="H24" i="1" s="1"/>
  <c r="H25" i="1" s="1"/>
  <c r="H26" i="1" s="1"/>
  <c r="H27" i="1" s="1"/>
  <c r="H28" i="1" s="1"/>
  <c r="H29" i="1" s="1"/>
  <c r="H30" i="1" s="1"/>
  <c r="H31" i="1" s="1"/>
  <c r="H32" i="1" s="1"/>
  <c r="H33" i="1" s="1"/>
  <c r="H34" i="1" s="1"/>
  <c r="H35" i="1" s="1"/>
  <c r="H36" i="1" s="1"/>
  <c r="H37" i="1" s="1"/>
  <c r="H38" i="1" s="1"/>
  <c r="H39" i="1" s="1"/>
  <c r="H40" i="1" s="1"/>
  <c r="H41" i="1" s="1"/>
  <c r="H42" i="1" s="1"/>
  <c r="H43" i="1" s="1"/>
  <c r="H44" i="1" s="1"/>
  <c r="H45" i="1" s="1"/>
  <c r="H46" i="1" s="1"/>
  <c r="H47" i="1" s="1"/>
  <c r="H48" i="1" s="1"/>
  <c r="H49" i="1" s="1"/>
  <c r="H50" i="1" s="1"/>
  <c r="H51" i="1" s="1"/>
  <c r="H52" i="1" s="1"/>
  <c r="H53" i="1" s="1"/>
  <c r="H54" i="1" s="1"/>
  <c r="H55" i="1" s="1"/>
  <c r="H56" i="1" s="1"/>
  <c r="H57" i="1" s="1"/>
  <c r="H58" i="1" s="1"/>
  <c r="H59" i="1" s="1"/>
  <c r="H60" i="1" s="1"/>
  <c r="H61" i="1" s="1"/>
  <c r="H62" i="1" s="1"/>
  <c r="H63" i="1" s="1"/>
  <c r="H64" i="1" s="1"/>
  <c r="H65" i="1" s="1"/>
  <c r="H66" i="1" s="1"/>
  <c r="H67" i="1" s="1"/>
  <c r="H68" i="1" s="1"/>
  <c r="H69" i="1" s="1"/>
  <c r="H70" i="1" s="1"/>
  <c r="H71" i="1" s="1"/>
  <c r="H72" i="1" s="1"/>
  <c r="H73" i="1" s="1"/>
  <c r="H74" i="1" s="1"/>
  <c r="H4" i="1"/>
  <c r="H3" i="1"/>
  <c r="C5" i="5"/>
</calcChain>
</file>

<file path=xl/sharedStrings.xml><?xml version="1.0" encoding="utf-8"?>
<sst xmlns="http://schemas.openxmlformats.org/spreadsheetml/2006/main" count="339" uniqueCount="71">
  <si>
    <t>Date</t>
  </si>
  <si>
    <t>Description</t>
  </si>
  <si>
    <t>Category</t>
  </si>
  <si>
    <t>Fund Class</t>
  </si>
  <si>
    <t>Payment Method</t>
  </si>
  <si>
    <t>Amount</t>
  </si>
  <si>
    <t>Salary</t>
  </si>
  <si>
    <t>Income</t>
  </si>
  <si>
    <t>Credit Card</t>
  </si>
  <si>
    <t>Date night with Amiyah</t>
  </si>
  <si>
    <t>Flexing</t>
  </si>
  <si>
    <t>Expenses</t>
  </si>
  <si>
    <t>Lunch at Shiro</t>
  </si>
  <si>
    <t>Food &amp; Drinks</t>
  </si>
  <si>
    <t>Cash</t>
  </si>
  <si>
    <t>10Alytics Training</t>
  </si>
  <si>
    <t>Personal Development</t>
  </si>
  <si>
    <t>Breakfast at KFC</t>
  </si>
  <si>
    <t>Lunch at Chicken Republic</t>
  </si>
  <si>
    <t>Tennis Racket</t>
  </si>
  <si>
    <t>Night at club</t>
  </si>
  <si>
    <t>Coffee at Starbucks</t>
  </si>
  <si>
    <t>Petrol for car</t>
  </si>
  <si>
    <t>Housing &amp; Utilities</t>
  </si>
  <si>
    <t>Gym subscription</t>
  </si>
  <si>
    <t>McDonald's brunch</t>
  </si>
  <si>
    <t>Spotify subscription</t>
  </si>
  <si>
    <t>Lunch at Buzz</t>
  </si>
  <si>
    <t>Mainland Block Party</t>
  </si>
  <si>
    <t>2 shirts and 4 trousers</t>
  </si>
  <si>
    <t>Clothing</t>
  </si>
  <si>
    <t>House Rent</t>
  </si>
  <si>
    <t>Internet and Phone Subscription</t>
  </si>
  <si>
    <t>Coffee at Buzz</t>
  </si>
  <si>
    <t>Movie at cinema</t>
  </si>
  <si>
    <t>Grocery shopping</t>
  </si>
  <si>
    <t>Microsoft Office Purchase</t>
  </si>
  <si>
    <t>Breakfast at Chicken Republic</t>
  </si>
  <si>
    <t>Deodorant and Perfume purchase</t>
  </si>
  <si>
    <t>Birthday party</t>
  </si>
  <si>
    <t>Udemy course</t>
  </si>
  <si>
    <t>Sneakers purchase</t>
  </si>
  <si>
    <t>Business School Training</t>
  </si>
  <si>
    <t>New books purchase</t>
  </si>
  <si>
    <t>Shawarma at Yaba - Lunch</t>
  </si>
  <si>
    <t>Christmas bonus</t>
  </si>
  <si>
    <t>Interest from Investment</t>
  </si>
  <si>
    <t>Davido's concert</t>
  </si>
  <si>
    <t>Games Night contribution</t>
  </si>
  <si>
    <t>Boat cruise</t>
  </si>
  <si>
    <t>Christmas house decoration</t>
  </si>
  <si>
    <t>Apple watch purchase</t>
  </si>
  <si>
    <t>Dinner at Eko Hotel</t>
  </si>
  <si>
    <t>Lunch at Kapadoccia</t>
  </si>
  <si>
    <t>Laptop Repair</t>
  </si>
  <si>
    <t>Balance</t>
  </si>
  <si>
    <t xml:space="preserve"> Question</t>
  </si>
  <si>
    <t>2. Show Expenses by Category</t>
  </si>
  <si>
    <t>3. Count of Expenses per category</t>
  </si>
  <si>
    <t>4. Expenses Vs Income</t>
  </si>
  <si>
    <t>1. Show Expenses by Months</t>
  </si>
  <si>
    <t>Row Labels</t>
  </si>
  <si>
    <t>Grand Total</t>
  </si>
  <si>
    <t>Nov</t>
  </si>
  <si>
    <t>Sum of Amount</t>
  </si>
  <si>
    <t>Count of Amount</t>
  </si>
  <si>
    <t>VI</t>
  </si>
  <si>
    <t>VIP GLOBAL FINANCIAL SERVICE</t>
  </si>
  <si>
    <t>Categories</t>
  </si>
  <si>
    <t>Budget</t>
  </si>
  <si>
    <t>Over/ UnderSpend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</si>
</sst>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809]#,##0"/>
    <numFmt numFmtId="165" formatCode="&quot;£&quot;#,##0"/>
  </numFmts>
  <fonts count="5" x14ac:knownFonts="1">
    <font>
      <sz val="11"/>
      <color rgb="FF000000"/>
      <name val="Arial"/>
      <scheme val="minor"/>
    </font>
    <font>
      <sz val="11"/>
      <color theme="1"/>
      <name val="Calibri"/>
      <family val="2"/>
    </font>
    <font>
      <sz val="11"/>
      <color theme="1"/>
      <name val="Calibri"/>
      <family val="2"/>
    </font>
    <font>
      <sz val="11"/>
      <color rgb="FF000000"/>
      <name val="Arial"/>
      <family val="2"/>
      <scheme val="minor"/>
    </font>
    <font>
      <sz val="14"/>
      <color rgb="FFFFFFFF"/>
      <name val="Arial"/>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0" fontId="1" fillId="0" borderId="0" xfId="0" applyFont="1"/>
    <xf numFmtId="14" fontId="2" fillId="0" borderId="0" xfId="0" applyNumberFormat="1" applyFont="1"/>
    <xf numFmtId="0" fontId="3" fillId="0" borderId="0" xfId="0" applyFont="1"/>
    <xf numFmtId="0" fontId="0" fillId="0" borderId="0" xfId="0" pivotButton="1"/>
    <xf numFmtId="0" fontId="0" fillId="0" borderId="0" xfId="0" applyAlignment="1">
      <alignment horizontal="left"/>
    </xf>
    <xf numFmtId="3" fontId="0" fillId="0" borderId="0" xfId="0" applyNumberFormat="1"/>
    <xf numFmtId="164" fontId="0" fillId="0" borderId="0" xfId="0" applyNumberFormat="1"/>
    <xf numFmtId="165" fontId="0" fillId="0" borderId="0" xfId="0" applyNumberFormat="1"/>
    <xf numFmtId="0" fontId="4" fillId="0" borderId="0" xfId="0" applyFont="1"/>
    <xf numFmtId="0" fontId="3" fillId="0" borderId="1" xfId="0" applyFont="1" applyBorder="1"/>
    <xf numFmtId="0" fontId="0" fillId="0" borderId="1" xfId="0" applyBorder="1"/>
    <xf numFmtId="0" fontId="0" fillId="0" borderId="0" xfId="0" applyNumberFormat="1"/>
  </cellXfs>
  <cellStyles count="1">
    <cellStyle name="Normal" xfId="0" builtinId="0"/>
  </cellStyles>
  <dxfs count="15">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numFmt numFmtId="19" formatCode="dd/mm/yyyy"/>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numFmt numFmtId="3" formatCode="#,##0"/>
    </dxf>
    <dxf>
      <numFmt numFmtId="3" formatCode="#,##0"/>
    </dxf>
    <dxf>
      <numFmt numFmtId="3" formatCode="#,##0"/>
    </dxf>
    <dxf>
      <numFmt numFmtId="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[10ALYTICS WEEK 3 DASHBOARD FINAL PROJECT.xlsx]Expenses By Month!Expenses by month</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Expenses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'Expenses By Month'!$C$4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'Expenses By Month'!$B$5:$B$6</c:f>
              <c:strCache>
                <c:ptCount val="1"/>
                <c:pt idx="0">
                  <c:v>Nov</c:v>
                </c:pt>
              </c:strCache>
            </c:strRef>
          </c:cat>
          <c:val>
            <c:numRef>
              <c:f>'Expenses By Month'!$C$5:$C$6</c:f>
              <c:numCache>
                <c:formatCode>#,##0</c:formatCode>
                <c:ptCount val="1"/>
                <c:pt idx="0">
                  <c:v>103789</c:v>
                </c:pt>
              </c:numCache>
            </c:numRef>
          </c:val>
          <c:extLst>
            <c:ext xmlns:c16="http://schemas.microsoft.com/office/drawing/2014/chart" uri="{C3380CC4-5D6E-409C-BE32-E72D297353CC}">
              <c16:uniqueId val="{00000000-E738-4741-AA9C-7458EE3708BA}"/>
            </c:ext>
          </c:extLst>
        </c:ser>
        <c:dLbls>
          <c:dLblPos val="outEnd"/>
          <c:showLegendKey val="0"/>
          <c:showVal val="1"/>
          <c:showCatName val="0"/>
          <c:showSerName val="0"/>
          <c:showPercent val="0"/>
          <c:showBubbleSize val="0"/>
        </c:dLbls>
        <c:gapWidth val="219"/>
        <c:overlap val="-27"/>
        <c:axId val="878031055"/>
        <c:axId val="878030575"/>
      </c:barChart>
      <c:catAx>
        <c:axId val="8780310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8030575"/>
        <c:crosses val="autoZero"/>
        <c:auto val="1"/>
        <c:lblAlgn val="ctr"/>
        <c:lblOffset val="100"/>
        <c:noMultiLvlLbl val="0"/>
      </c:catAx>
      <c:valAx>
        <c:axId val="878030575"/>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8031055"/>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[10ALYTICS WEEK 3 DASHBOARD FINAL PROJECT.xlsx]Expenses by Catagory!Expenses bt Category</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Expenses by Category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'Expenses by Catagory'!$C$5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'Expenses by Catagory'!$B$6:$B$9</c:f>
              <c:strCache>
                <c:ptCount val="3"/>
                <c:pt idx="0">
                  <c:v>Food &amp; Drinks</c:v>
                </c:pt>
                <c:pt idx="1">
                  <c:v>Personal Development</c:v>
                </c:pt>
                <c:pt idx="2">
                  <c:v>Flexing</c:v>
                </c:pt>
              </c:strCache>
            </c:strRef>
          </c:cat>
          <c:val>
            <c:numRef>
              <c:f>'Expenses by Catagory'!$C$6:$C$9</c:f>
              <c:numCache>
                <c:formatCode>[$£-809]#,##0</c:formatCode>
                <c:ptCount val="3"/>
                <c:pt idx="0">
                  <c:v>52695</c:v>
                </c:pt>
                <c:pt idx="1">
                  <c:v>39645</c:v>
                </c:pt>
                <c:pt idx="2">
                  <c:v>11449</c:v>
                </c:pt>
              </c:numCache>
            </c:numRef>
          </c:val>
          <c:extLst>
            <c:ext xmlns:c16="http://schemas.microsoft.com/office/drawing/2014/chart" uri="{C3380CC4-5D6E-409C-BE32-E72D297353CC}">
              <c16:uniqueId val="{00000000-C88A-4CF4-B887-794B148A5803}"/>
            </c:ext>
          </c:extLst>
        </c:ser>
        <c:dLbls>
          <c:dLblPos val="outEnd"/>
          <c:showLegendKey val="0"/>
          <c:showVal val="1"/>
          <c:showCatName val="0"/>
          <c:showSerName val="0"/>
          <c:showPercent val="0"/>
          <c:showBubbleSize val="0"/>
        </c:dLbls>
        <c:gapWidth val="219"/>
        <c:overlap val="-27"/>
        <c:axId val="880790639"/>
        <c:axId val="880768559"/>
      </c:barChart>
      <c:catAx>
        <c:axId val="8807906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0768559"/>
        <c:crosses val="autoZero"/>
        <c:auto val="1"/>
        <c:lblAlgn val="ctr"/>
        <c:lblOffset val="100"/>
        <c:noMultiLvlLbl val="0"/>
      </c:catAx>
      <c:valAx>
        <c:axId val="880768559"/>
        <c:scaling>
          <c:orientation val="minMax"/>
        </c:scaling>
        <c:delete val="0"/>
        <c:axPos val="l"/>
        <c:majorGridlines>
          <c:spPr>
            <a:ln w="9525" cap="flat" cmpd="sng" algn="ctr">
              <a:solidFill>
                <a:schemeClr val="tx1">
                  <a:lumMod val="15000"/>
                  <a:lumOff val="85000"/>
                </a:schemeClr>
              </a:solidFill>
              <a:round/>
            </a:ln>
            <a:effectLst/>
          </c:spPr>
        </c:majorGridlines>
        <c:numFmt formatCode="[$£-8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07906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[10ALYTICS WEEK 3 DASHBOARD FINAL PROJECT.xlsx]Count of Spend on Expense Categ!Count of Spend onExp Category</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Count of Spent</a:t>
            </a:r>
            <a:r>
              <a:rPr lang="en-GB" baseline="0"/>
              <a:t> on Expense Category</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'Count of Spend on Expense Categ'!$B$3</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 of Spend on Expense Categ'!$A$4:$A$7</c:f>
              <c:strCache>
                <c:ptCount val="3"/>
                <c:pt idx="0">
                  <c:v>Flexing</c:v>
                </c:pt>
                <c:pt idx="1">
                  <c:v>Food &amp; Drinks</c:v>
                </c:pt>
                <c:pt idx="2">
                  <c:v>Personal Development</c:v>
                </c:pt>
              </c:strCache>
            </c:strRef>
          </c:cat>
          <c:val>
            <c:numRef>
              <c:f>'Count of Spend on Expense Categ'!$B$4:$B$7</c:f>
              <c:numCache>
                <c:formatCode>General</c:formatCode>
                <c:ptCount val="3"/>
                <c:pt idx="0">
                  <c:v>2</c:v>
                </c:pt>
                <c:pt idx="1">
                  <c:v>5</c:v>
                </c:pt>
                <c:pt idx="2">
                  <c:v>3</c:v>
                </c:pt>
              </c:numCache>
            </c:numRef>
          </c:val>
          <c:extLst>
            <c:ext xmlns:c16="http://schemas.microsoft.com/office/drawing/2014/chart" uri="{C3380CC4-5D6E-409C-BE32-E72D297353CC}">
              <c16:uniqueId val="{00000002-825D-4D2B-B409-73595AD2AE62}"/>
            </c:ext>
          </c:extLst>
        </c:ser>
        <c:dLbls>
          <c:dLblPos val="outEnd"/>
          <c:showLegendKey val="0"/>
          <c:showVal val="1"/>
          <c:showCatName val="0"/>
          <c:showSerName val="0"/>
          <c:showPercent val="0"/>
          <c:showBubbleSize val="0"/>
        </c:dLbls>
        <c:gapWidth val="182"/>
        <c:axId val="880782959"/>
        <c:axId val="880791119"/>
      </c:barChart>
      <c:catAx>
        <c:axId val="8807829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0791119"/>
        <c:crosses val="autoZero"/>
        <c:auto val="1"/>
        <c:lblAlgn val="ctr"/>
        <c:lblOffset val="100"/>
        <c:noMultiLvlLbl val="0"/>
      </c:catAx>
      <c:valAx>
        <c:axId val="88079111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0782959"/>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[10ALYTICS WEEK 3 DASHBOARD FINAL PROJECT.xlsx]Expenses V Income!Exepense V Income</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Expenses V Income</a:t>
            </a:r>
          </a:p>
        </c:rich>
      </c:tx>
      <c:layout>
        <c:manualLayout>
          <c:xMode val="edge"/>
          <c:yMode val="edge"/>
          <c:x val="0.20578500903907665"/>
          <c:y val="4.06459609215514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92D050"/>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rgbClr val="00B0F0"/>
          </a:solidFill>
          <a:ln w="19050">
            <a:solidFill>
              <a:schemeClr val="lt1"/>
            </a:solidFill>
          </a:ln>
          <a:effectLst/>
        </c:spPr>
      </c:pivotFmt>
      <c:pivotFmt>
        <c:idx val="2"/>
        <c:spPr>
          <a:solidFill>
            <a:srgbClr val="92D050"/>
          </a:solidFill>
          <a:ln w="19050">
            <a:solidFill>
              <a:schemeClr val="lt1"/>
            </a:solidFill>
          </a:ln>
          <a:effectLst/>
        </c:spPr>
      </c:pivotFmt>
    </c:pivotFmts>
    <c:plotArea>
      <c:layout>
        <c:manualLayout>
          <c:layoutTarget val="inner"/>
          <c:xMode val="edge"/>
          <c:yMode val="edge"/>
          <c:x val="0.18739369422024912"/>
          <c:y val="0.22873988874257617"/>
          <c:w val="0.41234033610686072"/>
          <c:h val="0.67494343070597407"/>
        </c:manualLayout>
      </c:layout>
      <c:doughnutChart>
        <c:varyColors val="1"/>
        <c:ser>
          <c:idx val="0"/>
          <c:order val="0"/>
          <c:tx>
            <c:strRef>
              <c:f>'Expenses V Income'!$B$3</c:f>
              <c:strCache>
                <c:ptCount val="1"/>
                <c:pt idx="0">
                  <c:v>Total</c:v>
                </c:pt>
              </c:strCache>
            </c:strRef>
          </c:tx>
          <c:spPr>
            <a:solidFill>
              <a:srgbClr val="92D050"/>
            </a:solidFill>
          </c:spPr>
          <c:explosion val="2"/>
          <c:dPt>
            <c:idx val="0"/>
            <c:bubble3D val="0"/>
            <c:spPr>
              <a:solidFill>
                <a:srgbClr val="00B0F0"/>
              </a:solidFill>
              <a:ln w="19050">
                <a:solidFill>
                  <a:schemeClr val="lt1"/>
                </a:solidFill>
              </a:ln>
              <a:effectLst/>
            </c:spPr>
            <c:extLst>
              <c:ext xmlns:c16="http://schemas.microsoft.com/office/drawing/2014/chart" uri="{C3380CC4-5D6E-409C-BE32-E72D297353CC}">
                <c16:uniqueId val="{00000002-9E83-4474-8934-51C54DA2ADA9}"/>
              </c:ext>
            </c:extLst>
          </c:dPt>
          <c:dPt>
            <c:idx val="1"/>
            <c:bubble3D val="0"/>
            <c:spPr>
              <a:solidFill>
                <a:srgbClr val="92D050"/>
              </a:solidFill>
              <a:ln w="19050">
                <a:solidFill>
                  <a:schemeClr val="lt1"/>
                </a:solidFill>
              </a:ln>
              <a:effectLst/>
            </c:spPr>
            <c:extLst>
              <c:ext xmlns:c16="http://schemas.microsoft.com/office/drawing/2014/chart" uri="{C3380CC4-5D6E-409C-BE32-E72D297353CC}">
                <c16:uniqueId val="{00000003-3815-4B24-8ACC-A426FAE2546B}"/>
              </c:ext>
            </c:extLst>
          </c:dPt>
          <c:dLbls>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'Expenses V Income'!$A$4:$A$6</c:f>
              <c:strCache>
                <c:ptCount val="2"/>
                <c:pt idx="0">
                  <c:v>Expenses</c:v>
                </c:pt>
                <c:pt idx="1">
                  <c:v>Income</c:v>
                </c:pt>
              </c:strCache>
            </c:strRef>
          </c:cat>
          <c:val>
            <c:numRef>
              <c:f>'Expenses V Income'!$B$4:$B$6</c:f>
              <c:numCache>
                <c:formatCode>"£"#,##0</c:formatCode>
                <c:ptCount val="2"/>
                <c:pt idx="0">
                  <c:v>103789</c:v>
                </c:pt>
                <c:pt idx="1">
                  <c:v>400000</c:v>
                </c:pt>
              </c:numCache>
            </c:numRef>
          </c:val>
          <c:extLst>
            <c:ext xmlns:c16="http://schemas.microsoft.com/office/drawing/2014/chart" uri="{C3380CC4-5D6E-409C-BE32-E72D297353CC}">
              <c16:uniqueId val="{00000000-9E83-4474-8934-51C54DA2ADA9}"/>
            </c:ext>
          </c:extLst>
        </c:ser>
        <c:dLbls>
          <c:showLegendKey val="0"/>
          <c:showVal val="0"/>
          <c:showCatName val="0"/>
          <c:showSerName val="0"/>
          <c:showPercent val="0"/>
          <c:showBubbleSize val="0"/>
          <c:showLeaderLines val="0"/>
        </c:dLbls>
        <c:firstSliceAng val="75"/>
        <c:holeSize val="44"/>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[10ALYTICS WEEK 3 DASHBOARD FINAL PROJECT.xlsx]Expenses By Month!Expenses by month</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Expenses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'Expenses By Month'!$C$4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'Expenses By Month'!$B$5:$B$6</c:f>
              <c:strCache>
                <c:ptCount val="1"/>
                <c:pt idx="0">
                  <c:v>Nov</c:v>
                </c:pt>
              </c:strCache>
            </c:strRef>
          </c:cat>
          <c:val>
            <c:numRef>
              <c:f>'Expenses By Month'!$C$5:$C$6</c:f>
              <c:numCache>
                <c:formatCode>#,##0</c:formatCode>
                <c:ptCount val="1"/>
                <c:pt idx="0">
                  <c:v>103789</c:v>
                </c:pt>
              </c:numCache>
            </c:numRef>
          </c:val>
          <c:extLst>
            <c:ext xmlns:c16="http://schemas.microsoft.com/office/drawing/2014/chart" uri="{C3380CC4-5D6E-409C-BE32-E72D297353CC}">
              <c16:uniqueId val="{00000000-47AD-44FE-9AF4-FDDAC77A1B06}"/>
            </c:ext>
          </c:extLst>
        </c:ser>
        <c:dLbls>
          <c:dLblPos val="outEnd"/>
          <c:showLegendKey val="0"/>
          <c:showVal val="1"/>
          <c:showCatName val="0"/>
          <c:showSerName val="0"/>
          <c:showPercent val="0"/>
          <c:showBubbleSize val="0"/>
        </c:dLbls>
        <c:gapWidth val="219"/>
        <c:overlap val="-27"/>
        <c:axId val="878031055"/>
        <c:axId val="878030575"/>
      </c:barChart>
      <c:catAx>
        <c:axId val="8780310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8030575"/>
        <c:crosses val="autoZero"/>
        <c:auto val="1"/>
        <c:lblAlgn val="ctr"/>
        <c:lblOffset val="100"/>
        <c:noMultiLvlLbl val="0"/>
      </c:catAx>
      <c:valAx>
        <c:axId val="878030575"/>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8031055"/>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[10ALYTICS WEEK 3 DASHBOARD FINAL PROJECT.xlsx]Expenses by Catagory!Expenses bt Category</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Expenses by Category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'Expenses by Catagory'!$C$5</c:f>
              <c:strCache>
                <c:ptCount val="1"/>
                <c:pt idx="0">
                  <c:v>Total</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'Expenses by Catagory'!$B$6:$B$9</c:f>
              <c:strCache>
                <c:ptCount val="3"/>
                <c:pt idx="0">
                  <c:v>Food &amp; Drinks</c:v>
                </c:pt>
                <c:pt idx="1">
                  <c:v>Personal Development</c:v>
                </c:pt>
                <c:pt idx="2">
                  <c:v>Flexing</c:v>
                </c:pt>
              </c:strCache>
            </c:strRef>
          </c:cat>
          <c:val>
            <c:numRef>
              <c:f>'Expenses by Catagory'!$C$6:$C$9</c:f>
              <c:numCache>
                <c:formatCode>[$£-809]#,##0</c:formatCode>
                <c:ptCount val="3"/>
                <c:pt idx="0">
                  <c:v>52695</c:v>
                </c:pt>
                <c:pt idx="1">
                  <c:v>39645</c:v>
                </c:pt>
                <c:pt idx="2">
                  <c:v>11449</c:v>
                </c:pt>
              </c:numCache>
            </c:numRef>
          </c:val>
          <c:extLst>
            <c:ext xmlns:c16="http://schemas.microsoft.com/office/drawing/2014/chart" uri="{C3380CC4-5D6E-409C-BE32-E72D297353CC}">
              <c16:uniqueId val="{00000000-034B-4BD1-9CBA-BEE19DF549B2}"/>
            </c:ext>
          </c:extLst>
        </c:ser>
        <c:dLbls>
          <c:dLblPos val="outEnd"/>
          <c:showLegendKey val="0"/>
          <c:showVal val="1"/>
          <c:showCatName val="0"/>
          <c:showSerName val="0"/>
          <c:showPercent val="0"/>
          <c:showBubbleSize val="0"/>
        </c:dLbls>
        <c:gapWidth val="219"/>
        <c:overlap val="-27"/>
        <c:axId val="880790639"/>
        <c:axId val="880768559"/>
      </c:barChart>
      <c:catAx>
        <c:axId val="8807906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0768559"/>
        <c:crosses val="autoZero"/>
        <c:auto val="1"/>
        <c:lblAlgn val="ctr"/>
        <c:lblOffset val="100"/>
        <c:noMultiLvlLbl val="0"/>
      </c:catAx>
      <c:valAx>
        <c:axId val="880768559"/>
        <c:scaling>
          <c:orientation val="minMax"/>
        </c:scaling>
        <c:delete val="0"/>
        <c:axPos val="l"/>
        <c:majorGridlines>
          <c:spPr>
            <a:ln w="9525" cap="flat" cmpd="sng" algn="ctr">
              <a:solidFill>
                <a:schemeClr val="tx1">
                  <a:lumMod val="15000"/>
                  <a:lumOff val="85000"/>
                </a:schemeClr>
              </a:solidFill>
              <a:round/>
            </a:ln>
            <a:effectLst/>
          </c:spPr>
        </c:majorGridlines>
        <c:numFmt formatCode="[$£-8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07906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[10ALYTICS WEEK 3 DASHBOARD FINAL PROJECT.xlsx]Count of Spend on Expense Categ!Count of Spend onExp Category</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Count of Spent</a:t>
            </a:r>
            <a:r>
              <a:rPr lang="en-GB" baseline="0"/>
              <a:t> on Expense Category</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'Count of Spend on Expense Categ'!$B$3</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 of Spend on Expense Categ'!$A$4:$A$7</c:f>
              <c:strCache>
                <c:ptCount val="3"/>
                <c:pt idx="0">
                  <c:v>Flexing</c:v>
                </c:pt>
                <c:pt idx="1">
                  <c:v>Food &amp; Drinks</c:v>
                </c:pt>
                <c:pt idx="2">
                  <c:v>Personal Development</c:v>
                </c:pt>
              </c:strCache>
            </c:strRef>
          </c:cat>
          <c:val>
            <c:numRef>
              <c:f>'Count of Spend on Expense Categ'!$B$4:$B$7</c:f>
              <c:numCache>
                <c:formatCode>General</c:formatCode>
                <c:ptCount val="3"/>
                <c:pt idx="0">
                  <c:v>2</c:v>
                </c:pt>
                <c:pt idx="1">
                  <c:v>5</c:v>
                </c:pt>
                <c:pt idx="2">
                  <c:v>3</c:v>
                </c:pt>
              </c:numCache>
            </c:numRef>
          </c:val>
          <c:extLst>
            <c:ext xmlns:c16="http://schemas.microsoft.com/office/drawing/2014/chart" uri="{C3380CC4-5D6E-409C-BE32-E72D297353CC}">
              <c16:uniqueId val="{00000000-C6E5-4372-9D29-D9E1FD988655}"/>
            </c:ext>
          </c:extLst>
        </c:ser>
        <c:dLbls>
          <c:dLblPos val="outEnd"/>
          <c:showLegendKey val="0"/>
          <c:showVal val="1"/>
          <c:showCatName val="0"/>
          <c:showSerName val="0"/>
          <c:showPercent val="0"/>
          <c:showBubbleSize val="0"/>
        </c:dLbls>
        <c:gapWidth val="182"/>
        <c:axId val="880782959"/>
        <c:axId val="880791119"/>
      </c:barChart>
      <c:catAx>
        <c:axId val="8807829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0791119"/>
        <c:crosses val="autoZero"/>
        <c:auto val="1"/>
        <c:lblAlgn val="ctr"/>
        <c:lblOffset val="100"/>
        <c:noMultiLvlLbl val="0"/>
      </c:catAx>
      <c:valAx>
        <c:axId val="88079111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0782959"/>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[10ALYTICS WEEK 3 DASHBOARD FINAL PROJECT.xlsx]Expenses V Income!Exepense V Income</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Expenses V Income</a:t>
            </a:r>
          </a:p>
        </c:rich>
      </c:tx>
      <c:layout>
        <c:manualLayout>
          <c:xMode val="edge"/>
          <c:yMode val="edge"/>
          <c:x val="0.20578500903907665"/>
          <c:y val="4.06459609215514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92D050"/>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rgbClr val="00B0F0"/>
          </a:solidFill>
          <a:ln w="19050">
            <a:solidFill>
              <a:schemeClr val="lt1"/>
            </a:solidFill>
          </a:ln>
          <a:effectLst/>
        </c:spPr>
      </c:pivotFmt>
      <c:pivotFmt>
        <c:idx val="2"/>
        <c:spPr>
          <a:solidFill>
            <a:srgbClr val="92D050"/>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rgbClr val="00B0F0"/>
          </a:solidFill>
          <a:ln w="19050">
            <a:solidFill>
              <a:schemeClr val="lt1"/>
            </a:solidFill>
          </a:ln>
          <a:effectLst/>
        </c:spPr>
      </c:pivotFmt>
      <c:pivotFmt>
        <c:idx val="4"/>
        <c:spPr>
          <a:solidFill>
            <a:srgbClr val="92D050"/>
          </a:solidFill>
          <a:ln w="19050">
            <a:solidFill>
              <a:schemeClr val="lt1"/>
            </a:solidFill>
          </a:ln>
          <a:effectLst/>
        </c:spPr>
      </c:pivotFmt>
      <c:pivotFmt>
        <c:idx val="5"/>
        <c:spPr>
          <a:solidFill>
            <a:srgbClr val="92D050"/>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rgbClr val="00B0F0"/>
          </a:solidFill>
          <a:ln w="19050">
            <a:solidFill>
              <a:schemeClr val="lt1"/>
            </a:solidFill>
          </a:ln>
          <a:effectLst/>
        </c:spPr>
      </c:pivotFmt>
      <c:pivotFmt>
        <c:idx val="7"/>
        <c:spPr>
          <a:solidFill>
            <a:srgbClr val="92D050"/>
          </a:solidFill>
          <a:ln w="19050">
            <a:solidFill>
              <a:schemeClr val="lt1"/>
            </a:solidFill>
          </a:ln>
          <a:effectLst/>
        </c:spPr>
      </c:pivotFmt>
    </c:pivotFmts>
    <c:plotArea>
      <c:layout>
        <c:manualLayout>
          <c:layoutTarget val="inner"/>
          <c:xMode val="edge"/>
          <c:yMode val="edge"/>
          <c:x val="0.20932939632545935"/>
          <c:y val="0.20569346406631051"/>
          <c:w val="0.41309055118110238"/>
          <c:h val="0.67535239975112105"/>
        </c:manualLayout>
      </c:layout>
      <c:doughnutChart>
        <c:varyColors val="1"/>
        <c:ser>
          <c:idx val="0"/>
          <c:order val="0"/>
          <c:tx>
            <c:strRef>
              <c:f>'Expenses V Income'!$B$3</c:f>
              <c:strCache>
                <c:ptCount val="1"/>
                <c:pt idx="0">
                  <c:v>Total</c:v>
                </c:pt>
              </c:strCache>
            </c:strRef>
          </c:tx>
          <c:spPr>
            <a:solidFill>
              <a:srgbClr val="92D050"/>
            </a:solidFill>
          </c:spPr>
          <c:dPt>
            <c:idx val="0"/>
            <c:bubble3D val="0"/>
            <c:spPr>
              <a:solidFill>
                <a:srgbClr val="00B0F0"/>
              </a:solidFill>
              <a:ln w="19050">
                <a:solidFill>
                  <a:schemeClr val="lt1"/>
                </a:solidFill>
              </a:ln>
              <a:effectLst/>
            </c:spPr>
            <c:extLst>
              <c:ext xmlns:c16="http://schemas.microsoft.com/office/drawing/2014/chart" uri="{C3380CC4-5D6E-409C-BE32-E72D297353CC}">
                <c16:uniqueId val="{00000001-21C7-4DDE-8F9A-BA9FC0E23961}"/>
              </c:ext>
            </c:extLst>
          </c:dPt>
          <c:dPt>
            <c:idx val="1"/>
            <c:bubble3D val="0"/>
            <c:spPr>
              <a:solidFill>
                <a:srgbClr val="92D050"/>
              </a:solidFill>
              <a:ln w="19050">
                <a:solidFill>
                  <a:schemeClr val="lt1"/>
                </a:solidFill>
              </a:ln>
              <a:effectLst/>
            </c:spPr>
            <c:extLst>
              <c:ext xmlns:c16="http://schemas.microsoft.com/office/drawing/2014/chart" uri="{C3380CC4-5D6E-409C-BE32-E72D297353CC}">
                <c16:uniqueId val="{00000003-21C7-4DDE-8F9A-BA9FC0E23961}"/>
              </c:ext>
            </c:extLst>
          </c:dPt>
          <c:dLbls>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'Expenses V Income'!$A$4:$A$6</c:f>
              <c:strCache>
                <c:ptCount val="2"/>
                <c:pt idx="0">
                  <c:v>Expenses</c:v>
                </c:pt>
                <c:pt idx="1">
                  <c:v>Income</c:v>
                </c:pt>
              </c:strCache>
            </c:strRef>
          </c:cat>
          <c:val>
            <c:numRef>
              <c:f>'Expenses V Income'!$B$4:$B$6</c:f>
              <c:numCache>
                <c:formatCode>"£"#,##0</c:formatCode>
                <c:ptCount val="2"/>
                <c:pt idx="0">
                  <c:v>103789</c:v>
                </c:pt>
                <c:pt idx="1">
                  <c:v>400000</c:v>
                </c:pt>
              </c:numCache>
            </c:numRef>
          </c:val>
          <c:extLst>
            <c:ext xmlns:c16="http://schemas.microsoft.com/office/drawing/2014/chart" uri="{C3380CC4-5D6E-409C-BE32-E72D297353CC}">
              <c16:uniqueId val="{00000004-21C7-4DDE-8F9A-BA9FC0E23961}"/>
            </c:ext>
          </c:extLst>
        </c:ser>
        <c:dLbls>
          <c:showLegendKey val="0"/>
          <c:showVal val="0"/>
          <c:showCatName val="0"/>
          <c:showSerName val="0"/>
          <c:showPercent val="0"/>
          <c:showBubbleSize val="0"/>
          <c:showLeaderLines val="0"/>
        </c:dLbls>
        <c:firstSliceAng val="75"/>
        <c:holeSize val="44"/>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3" Type="http://schemas.openxmlformats.org/officeDocument/2006/relationships/chart" Target="../charts/chart7.xml"/><Relationship Id="rId7" Type="http://schemas.openxmlformats.org/officeDocument/2006/relationships/image" Target="../media/image2.jpeg"/><Relationship Id="rId2" Type="http://schemas.openxmlformats.org/officeDocument/2006/relationships/chart" Target="../charts/chart6.xml"/><Relationship Id="rId1" Type="http://schemas.openxmlformats.org/officeDocument/2006/relationships/chart" Target="../charts/chart5.xml"/><Relationship Id="rId6" Type="http://schemas.microsoft.com/office/2007/relationships/hdphoto" Target="../media/hdphoto1.wdp"/><Relationship Id="rId5" Type="http://schemas.openxmlformats.org/officeDocument/2006/relationships/image" Target="../media/image1.png"/><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1</xdr:col>
      <xdr:colOff>50482</xdr:colOff>
      <xdr:row>11</xdr:row>
      <xdr:rowOff>72390</xdr:rowOff>
    </xdr:from>
    <xdr:to>
      <xdr:col>6</xdr:col>
      <xdr:colOff>511492</xdr:colOff>
      <xdr:row>27</xdr:row>
      <xdr:rowOff>72390</xdr:rowOff>
    </xdr:to>
    <xdr:graphicFrame macro="">
      <xdr:nvGraphicFramePr>
        <xdr:cNvPr id="2" name="Chart 1">
          <a:extLst>
            <a:ext uri="{FF2B5EF4-FFF2-40B4-BE49-F238E27FC236}">
              <a16:creationId xmlns:a16="http://schemas.microsoft.com/office/drawing/2014/main" id="{912D732D-8B9F-13EC-98EE-F0C4AB62BE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6667</xdr:colOff>
      <xdr:row>13</xdr:row>
      <xdr:rowOff>66675</xdr:rowOff>
    </xdr:from>
    <xdr:to>
      <xdr:col>5</xdr:col>
      <xdr:colOff>629602</xdr:colOff>
      <xdr:row>29</xdr:row>
      <xdr:rowOff>66675</xdr:rowOff>
    </xdr:to>
    <xdr:graphicFrame macro="">
      <xdr:nvGraphicFramePr>
        <xdr:cNvPr id="2" name="Chart 1">
          <a:extLst>
            <a:ext uri="{FF2B5EF4-FFF2-40B4-BE49-F238E27FC236}">
              <a16:creationId xmlns:a16="http://schemas.microsoft.com/office/drawing/2014/main" id="{0E69611F-6CA1-CFC0-F354-5D24DEEF47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12</xdr:row>
      <xdr:rowOff>28575</xdr:rowOff>
    </xdr:from>
    <xdr:to>
      <xdr:col>4</xdr:col>
      <xdr:colOff>537210</xdr:colOff>
      <xdr:row>28</xdr:row>
      <xdr:rowOff>28575</xdr:rowOff>
    </xdr:to>
    <xdr:graphicFrame macro="">
      <xdr:nvGraphicFramePr>
        <xdr:cNvPr id="2" name="Chart 1">
          <a:extLst>
            <a:ext uri="{FF2B5EF4-FFF2-40B4-BE49-F238E27FC236}">
              <a16:creationId xmlns:a16="http://schemas.microsoft.com/office/drawing/2014/main" id="{BDA8ACDD-31E2-D632-7638-ED291DC716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58102</xdr:colOff>
      <xdr:row>7</xdr:row>
      <xdr:rowOff>171449</xdr:rowOff>
    </xdr:from>
    <xdr:to>
      <xdr:col>5</xdr:col>
      <xdr:colOff>505777</xdr:colOff>
      <xdr:row>24</xdr:row>
      <xdr:rowOff>49529</xdr:rowOff>
    </xdr:to>
    <xdr:graphicFrame macro="">
      <xdr:nvGraphicFramePr>
        <xdr:cNvPr id="2" name="Chart 1">
          <a:extLst>
            <a:ext uri="{FF2B5EF4-FFF2-40B4-BE49-F238E27FC236}">
              <a16:creationId xmlns:a16="http://schemas.microsoft.com/office/drawing/2014/main" id="{57FF23B3-8C55-E222-BDA3-DDF6A3AC17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72390</xdr:colOff>
      <xdr:row>24</xdr:row>
      <xdr:rowOff>116206</xdr:rowOff>
    </xdr:from>
    <xdr:to>
      <xdr:col>3</xdr:col>
      <xdr:colOff>129540</xdr:colOff>
      <xdr:row>31</xdr:row>
      <xdr:rowOff>1</xdr:rowOff>
    </xdr:to>
    <mc:AlternateContent xmlns:mc="http://schemas.openxmlformats.org/markup-compatibility/2006" xmlns:a14="http://schemas.microsoft.com/office/drawing/2010/main">
      <mc:Choice Requires="a14">
        <xdr:graphicFrame macro="">
          <xdr:nvGraphicFramePr>
            <xdr:cNvPr id="5" name="Months (Date)">
              <a:extLst>
                <a:ext uri="{FF2B5EF4-FFF2-40B4-BE49-F238E27FC236}">
                  <a16:creationId xmlns:a16="http://schemas.microsoft.com/office/drawing/2014/main" id="{92CCFB5A-195A-686E-88AE-813D64AAE427}"/>
                </a:ext>
              </a:extLst>
            </xdr:cNvPr>
            <xdr:cNvGraphicFramePr/>
          </xdr:nvGraphicFramePr>
          <xdr:xfrm>
            <a:off x="0" y="0"/>
            <a:ext cx="0" cy="0"/>
          </xdr:xfrm>
          <a:graphic>
            <a:graphicData uri="http://schemas.microsoft.com/office/drawing/2010/slicer">
              <sle:slicer xmlns:sle="http://schemas.microsoft.com/office/drawing/2010/slicer" name="Months (Date)"/>
            </a:graphicData>
          </a:graphic>
        </xdr:graphicFrame>
      </mc:Choice>
      <mc:Fallback xmlns="">
        <xdr:sp macro="" textlink="">
          <xdr:nvSpPr>
            <xdr:cNvPr id="0" name=""/>
            <xdr:cNvSpPr>
              <a:spLocks noTextEdit="1"/>
            </xdr:cNvSpPr>
          </xdr:nvSpPr>
          <xdr:spPr>
            <a:xfrm>
              <a:off x="1072515" y="4231006"/>
              <a:ext cx="1838325" cy="108394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c:userShapes xmlns:c="http://schemas.openxmlformats.org/drawingml/2006/chart">
  <cdr:relSizeAnchor xmlns:cdr="http://schemas.openxmlformats.org/drawingml/2006/chartDrawing">
    <cdr:from>
      <cdr:x>0.37385</cdr:x>
      <cdr:y>0.51058</cdr:y>
    </cdr:from>
    <cdr:to>
      <cdr:x>0.50521</cdr:x>
      <cdr:y>0.61297</cdr:y>
    </cdr:to>
    <cdr:sp macro="" textlink="">
      <cdr:nvSpPr>
        <cdr:cNvPr id="2" name="TextBox 1">
          <a:extLst xmlns:a="http://schemas.openxmlformats.org/drawingml/2006/main">
            <a:ext uri="{FF2B5EF4-FFF2-40B4-BE49-F238E27FC236}">
              <a16:creationId xmlns:a16="http://schemas.microsoft.com/office/drawing/2014/main" id="{7694E6C3-F547-358B-38B4-C337C68A332D}"/>
            </a:ext>
          </a:extLst>
        </cdr:cNvPr>
        <cdr:cNvSpPr txBox="1"/>
      </cdr:nvSpPr>
      <cdr:spPr>
        <a:xfrm xmlns:a="http://schemas.openxmlformats.org/drawingml/2006/main">
          <a:off x="1707833" y="1424941"/>
          <a:ext cx="600075" cy="28575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GB" sz="1100" kern="1200"/>
        </a:p>
      </cdr:txBody>
    </cdr:sp>
  </cdr:relSizeAnchor>
  <cdr:relSizeAnchor xmlns:cdr="http://schemas.openxmlformats.org/drawingml/2006/chartDrawing">
    <cdr:from>
      <cdr:x>0.32798</cdr:x>
      <cdr:y>0.52765</cdr:y>
    </cdr:from>
    <cdr:to>
      <cdr:x>0.47394</cdr:x>
      <cdr:y>0.66416</cdr:y>
    </cdr:to>
    <cdr:sp macro="" textlink="">
      <cdr:nvSpPr>
        <cdr:cNvPr id="3" name="TextBox 2">
          <a:extLst xmlns:a="http://schemas.openxmlformats.org/drawingml/2006/main">
            <a:ext uri="{FF2B5EF4-FFF2-40B4-BE49-F238E27FC236}">
              <a16:creationId xmlns:a16="http://schemas.microsoft.com/office/drawing/2014/main" id="{189B6E0D-4712-6D36-4D92-B1F194AFDF12}"/>
            </a:ext>
          </a:extLst>
        </cdr:cNvPr>
        <cdr:cNvSpPr txBox="1"/>
      </cdr:nvSpPr>
      <cdr:spPr>
        <a:xfrm xmlns:a="http://schemas.openxmlformats.org/drawingml/2006/main">
          <a:off x="1498284" y="1472566"/>
          <a:ext cx="666750" cy="3810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GB" sz="1100" kern="1200"/>
        </a:p>
      </cdr:txBody>
    </cdr:sp>
  </cdr:relSizeAnchor>
</c:userShapes>
</file>

<file path=xl/drawings/drawing6.xml><?xml version="1.0" encoding="utf-8"?>
<xdr:wsDr xmlns:xdr="http://schemas.openxmlformats.org/drawingml/2006/spreadsheetDrawing" xmlns:a="http://schemas.openxmlformats.org/drawingml/2006/main">
  <xdr:twoCellAnchor>
    <xdr:from>
      <xdr:col>0</xdr:col>
      <xdr:colOff>506730</xdr:colOff>
      <xdr:row>3</xdr:row>
      <xdr:rowOff>163830</xdr:rowOff>
    </xdr:from>
    <xdr:to>
      <xdr:col>17</xdr:col>
      <xdr:colOff>607695</xdr:colOff>
      <xdr:row>41</xdr:row>
      <xdr:rowOff>121920</xdr:rowOff>
    </xdr:to>
    <xdr:sp macro="" textlink="">
      <xdr:nvSpPr>
        <xdr:cNvPr id="15" name="Rectangle 14">
          <a:extLst>
            <a:ext uri="{FF2B5EF4-FFF2-40B4-BE49-F238E27FC236}">
              <a16:creationId xmlns:a16="http://schemas.microsoft.com/office/drawing/2014/main" id="{B8110F84-C924-0AF8-0626-AEF5395EBED4}"/>
            </a:ext>
          </a:extLst>
        </xdr:cNvPr>
        <xdr:cNvSpPr/>
      </xdr:nvSpPr>
      <xdr:spPr>
        <a:xfrm>
          <a:off x="506730" y="678180"/>
          <a:ext cx="11435715" cy="647319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594358</xdr:colOff>
      <xdr:row>4</xdr:row>
      <xdr:rowOff>22547</xdr:rowOff>
    </xdr:from>
    <xdr:to>
      <xdr:col>17</xdr:col>
      <xdr:colOff>514349</xdr:colOff>
      <xdr:row>7</xdr:row>
      <xdr:rowOff>154305</xdr:rowOff>
    </xdr:to>
    <xdr:sp macro="" textlink="">
      <xdr:nvSpPr>
        <xdr:cNvPr id="2" name="Rectangle 1">
          <a:extLst>
            <a:ext uri="{FF2B5EF4-FFF2-40B4-BE49-F238E27FC236}">
              <a16:creationId xmlns:a16="http://schemas.microsoft.com/office/drawing/2014/main" id="{03A2027B-1977-94ED-8B98-5495D5D6F87A}"/>
            </a:ext>
          </a:extLst>
        </xdr:cNvPr>
        <xdr:cNvSpPr/>
      </xdr:nvSpPr>
      <xdr:spPr>
        <a:xfrm rot="10800000" flipV="1">
          <a:off x="594358" y="708347"/>
          <a:ext cx="11254741" cy="646108"/>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400" baseline="0"/>
            <a:t>VIP GLOBAL FINANCIAL SERVICE  DASHBOARD</a:t>
          </a:r>
          <a:endParaRPr lang="en-GB" sz="1400"/>
        </a:p>
      </xdr:txBody>
    </xdr:sp>
    <xdr:clientData/>
  </xdr:twoCellAnchor>
  <xdr:twoCellAnchor>
    <xdr:from>
      <xdr:col>0</xdr:col>
      <xdr:colOff>590550</xdr:colOff>
      <xdr:row>7</xdr:row>
      <xdr:rowOff>133350</xdr:rowOff>
    </xdr:from>
    <xdr:to>
      <xdr:col>7</xdr:col>
      <xdr:colOff>501015</xdr:colOff>
      <xdr:row>23</xdr:row>
      <xdr:rowOff>133350</xdr:rowOff>
    </xdr:to>
    <xdr:graphicFrame macro="">
      <xdr:nvGraphicFramePr>
        <xdr:cNvPr id="3" name="Chart 2">
          <a:extLst>
            <a:ext uri="{FF2B5EF4-FFF2-40B4-BE49-F238E27FC236}">
              <a16:creationId xmlns:a16="http://schemas.microsoft.com/office/drawing/2014/main" id="{162E8119-BA31-45A2-99BA-1DCEA246BA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7</xdr:row>
      <xdr:rowOff>161925</xdr:rowOff>
    </xdr:from>
    <xdr:to>
      <xdr:col>14</xdr:col>
      <xdr:colOff>558165</xdr:colOff>
      <xdr:row>23</xdr:row>
      <xdr:rowOff>161925</xdr:rowOff>
    </xdr:to>
    <xdr:graphicFrame macro="">
      <xdr:nvGraphicFramePr>
        <xdr:cNvPr id="4" name="Chart 3">
          <a:extLst>
            <a:ext uri="{FF2B5EF4-FFF2-40B4-BE49-F238E27FC236}">
              <a16:creationId xmlns:a16="http://schemas.microsoft.com/office/drawing/2014/main" id="{3F3D2629-567E-4256-9AEF-C226840658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571500</xdr:colOff>
      <xdr:row>24</xdr:row>
      <xdr:rowOff>123825</xdr:rowOff>
    </xdr:from>
    <xdr:to>
      <xdr:col>7</xdr:col>
      <xdr:colOff>472440</xdr:colOff>
      <xdr:row>40</xdr:row>
      <xdr:rowOff>123825</xdr:rowOff>
    </xdr:to>
    <xdr:graphicFrame macro="">
      <xdr:nvGraphicFramePr>
        <xdr:cNvPr id="5" name="Chart 4">
          <a:extLst>
            <a:ext uri="{FF2B5EF4-FFF2-40B4-BE49-F238E27FC236}">
              <a16:creationId xmlns:a16="http://schemas.microsoft.com/office/drawing/2014/main" id="{A3E6B57C-0839-431D-9FE3-AA4D4EC902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638175</xdr:colOff>
      <xdr:row>24</xdr:row>
      <xdr:rowOff>76200</xdr:rowOff>
    </xdr:from>
    <xdr:to>
      <xdr:col>14</xdr:col>
      <xdr:colOff>539115</xdr:colOff>
      <xdr:row>40</xdr:row>
      <xdr:rowOff>125730</xdr:rowOff>
    </xdr:to>
    <xdr:graphicFrame macro="">
      <xdr:nvGraphicFramePr>
        <xdr:cNvPr id="6" name="Chart 5">
          <a:extLst>
            <a:ext uri="{FF2B5EF4-FFF2-40B4-BE49-F238E27FC236}">
              <a16:creationId xmlns:a16="http://schemas.microsoft.com/office/drawing/2014/main" id="{2A302F24-A549-41F8-B303-4CE04C8054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14</xdr:col>
      <xdr:colOff>647700</xdr:colOff>
      <xdr:row>34</xdr:row>
      <xdr:rowOff>28574</xdr:rowOff>
    </xdr:from>
    <xdr:to>
      <xdr:col>17</xdr:col>
      <xdr:colOff>481965</xdr:colOff>
      <xdr:row>40</xdr:row>
      <xdr:rowOff>125729</xdr:rowOff>
    </xdr:to>
    <mc:AlternateContent xmlns:mc="http://schemas.openxmlformats.org/markup-compatibility/2006" xmlns:a14="http://schemas.microsoft.com/office/drawing/2010/main">
      <mc:Choice Requires="a14">
        <xdr:graphicFrame macro="">
          <xdr:nvGraphicFramePr>
            <xdr:cNvPr id="7" name="Months (Date) 1">
              <a:extLst>
                <a:ext uri="{FF2B5EF4-FFF2-40B4-BE49-F238E27FC236}">
                  <a16:creationId xmlns:a16="http://schemas.microsoft.com/office/drawing/2014/main" id="{022D6D9F-D3CA-4787-979A-B01846A7E7DD}"/>
                </a:ext>
              </a:extLst>
            </xdr:cNvPr>
            <xdr:cNvGraphicFramePr/>
          </xdr:nvGraphicFramePr>
          <xdr:xfrm>
            <a:off x="0" y="0"/>
            <a:ext cx="0" cy="0"/>
          </xdr:xfrm>
          <a:graphic>
            <a:graphicData uri="http://schemas.microsoft.com/office/drawing/2010/slicer">
              <sle:slicer xmlns:sle="http://schemas.microsoft.com/office/drawing/2010/slicer" name="Months (Date) 1"/>
            </a:graphicData>
          </a:graphic>
        </xdr:graphicFrame>
      </mc:Choice>
      <mc:Fallback xmlns="">
        <xdr:sp macro="" textlink="">
          <xdr:nvSpPr>
            <xdr:cNvPr id="0" name=""/>
            <xdr:cNvSpPr>
              <a:spLocks noTextEdit="1"/>
            </xdr:cNvSpPr>
          </xdr:nvSpPr>
          <xdr:spPr>
            <a:xfrm>
              <a:off x="9982200" y="5855969"/>
              <a:ext cx="1830705" cy="112966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140970</xdr:colOff>
      <xdr:row>32</xdr:row>
      <xdr:rowOff>60959</xdr:rowOff>
    </xdr:from>
    <xdr:to>
      <xdr:col>11</xdr:col>
      <xdr:colOff>251459</xdr:colOff>
      <xdr:row>34</xdr:row>
      <xdr:rowOff>55244</xdr:rowOff>
    </xdr:to>
    <xdr:sp macro="" textlink="'Expenses V Income'!$C$5">
      <xdr:nvSpPr>
        <xdr:cNvPr id="8" name="Rectangle 7">
          <a:extLst>
            <a:ext uri="{FF2B5EF4-FFF2-40B4-BE49-F238E27FC236}">
              <a16:creationId xmlns:a16="http://schemas.microsoft.com/office/drawing/2014/main" id="{CAE19B45-7CE2-4014-5B42-26E49D2F2936}"/>
            </a:ext>
          </a:extLst>
        </xdr:cNvPr>
        <xdr:cNvSpPr/>
      </xdr:nvSpPr>
      <xdr:spPr>
        <a:xfrm>
          <a:off x="6808470" y="5547359"/>
          <a:ext cx="777239" cy="337185"/>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60AFC436-E84B-449E-9615-1540B51EF614}" type="TxLink">
            <a:rPr lang="en-US" sz="1100" b="0" i="0" u="none" strike="noStrike">
              <a:solidFill>
                <a:srgbClr val="000000"/>
              </a:solidFill>
              <a:latin typeface="Arial"/>
              <a:cs typeface="Arial"/>
            </a:rPr>
            <a:pPr algn="l"/>
            <a:t>296211</a:t>
          </a:fld>
          <a:endParaRPr lang="en-GB" sz="1100"/>
        </a:p>
      </xdr:txBody>
    </xdr:sp>
    <xdr:clientData/>
  </xdr:twoCellAnchor>
  <xdr:twoCellAnchor editAs="oneCell">
    <xdr:from>
      <xdr:col>14</xdr:col>
      <xdr:colOff>628650</xdr:colOff>
      <xdr:row>23</xdr:row>
      <xdr:rowOff>72390</xdr:rowOff>
    </xdr:from>
    <xdr:to>
      <xdr:col>17</xdr:col>
      <xdr:colOff>472440</xdr:colOff>
      <xdr:row>33</xdr:row>
      <xdr:rowOff>102870</xdr:rowOff>
    </xdr:to>
    <mc:AlternateContent xmlns:mc="http://schemas.openxmlformats.org/markup-compatibility/2006" xmlns:a14="http://schemas.microsoft.com/office/drawing/2010/main">
      <mc:Choice Requires="a14">
        <xdr:graphicFrame macro="">
          <xdr:nvGraphicFramePr>
            <xdr:cNvPr id="9" name="Category">
              <a:extLst>
                <a:ext uri="{FF2B5EF4-FFF2-40B4-BE49-F238E27FC236}">
                  <a16:creationId xmlns:a16="http://schemas.microsoft.com/office/drawing/2014/main" id="{22E27589-6B9C-F141-DE4B-67113FF0FE78}"/>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9959340" y="4015740"/>
              <a:ext cx="1851660" cy="17430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655320</xdr:colOff>
      <xdr:row>16</xdr:row>
      <xdr:rowOff>161925</xdr:rowOff>
    </xdr:from>
    <xdr:to>
      <xdr:col>17</xdr:col>
      <xdr:colOff>491490</xdr:colOff>
      <xdr:row>23</xdr:row>
      <xdr:rowOff>1905</xdr:rowOff>
    </xdr:to>
    <mc:AlternateContent xmlns:mc="http://schemas.openxmlformats.org/markup-compatibility/2006" xmlns:a14="http://schemas.microsoft.com/office/drawing/2010/main">
      <mc:Choice Requires="a14">
        <xdr:graphicFrame macro="">
          <xdr:nvGraphicFramePr>
            <xdr:cNvPr id="10" name="Payment Method">
              <a:extLst>
                <a:ext uri="{FF2B5EF4-FFF2-40B4-BE49-F238E27FC236}">
                  <a16:creationId xmlns:a16="http://schemas.microsoft.com/office/drawing/2014/main" id="{739383C0-BF57-5796-6A3E-AEA6FB1B60D6}"/>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mlns="">
        <xdr:sp macro="" textlink="">
          <xdr:nvSpPr>
            <xdr:cNvPr id="0" name=""/>
            <xdr:cNvSpPr>
              <a:spLocks noTextEdit="1"/>
            </xdr:cNvSpPr>
          </xdr:nvSpPr>
          <xdr:spPr>
            <a:xfrm>
              <a:off x="9991725" y="2907030"/>
              <a:ext cx="1834515" cy="10382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598171</xdr:colOff>
      <xdr:row>4</xdr:row>
      <xdr:rowOff>5715</xdr:rowOff>
    </xdr:from>
    <xdr:to>
      <xdr:col>17</xdr:col>
      <xdr:colOff>520065</xdr:colOff>
      <xdr:row>7</xdr:row>
      <xdr:rowOff>161925</xdr:rowOff>
    </xdr:to>
    <xdr:pic>
      <xdr:nvPicPr>
        <xdr:cNvPr id="12" name="Picture 11" descr="Stacks of gold coins">
          <a:extLst>
            <a:ext uri="{FF2B5EF4-FFF2-40B4-BE49-F238E27FC236}">
              <a16:creationId xmlns:a16="http://schemas.microsoft.com/office/drawing/2014/main" id="{1E05C162-769D-61A2-A2ED-718A4DA5C5BF}"/>
            </a:ext>
          </a:extLst>
        </xdr:cNvPr>
        <xdr:cNvPicPr>
          <a:picLocks noChangeAspect="1"/>
        </xdr:cNvPicPr>
      </xdr:nvPicPr>
      <xdr:blipFill>
        <a:blip xmlns:r="http://schemas.openxmlformats.org/officeDocument/2006/relationships" r:embed="rId5" cstate="print">
          <a:extLst>
            <a:ext uri="{BEBA8EAE-BF5A-486C-A8C5-ECC9F3942E4B}">
              <a14:imgProps xmlns:a14="http://schemas.microsoft.com/office/drawing/2010/main">
                <a14:imgLayer r:embed="rId6">
                  <a14:imgEffect>
                    <a14:backgroundRemoval t="10000" b="90000" l="10000" r="90000"/>
                  </a14:imgEffect>
                </a14:imgLayer>
              </a14:imgProps>
            </a:ext>
            <a:ext uri="{28A0092B-C50C-407E-A947-70E740481C1C}">
              <a14:useLocalDpi xmlns:a14="http://schemas.microsoft.com/office/drawing/2010/main" val="0"/>
            </a:ext>
          </a:extLst>
        </a:blip>
        <a:stretch>
          <a:fillRect/>
        </a:stretch>
      </xdr:blipFill>
      <xdr:spPr>
        <a:xfrm>
          <a:off x="9932671" y="691515"/>
          <a:ext cx="1922144" cy="670560"/>
        </a:xfrm>
        <a:prstGeom prst="rect">
          <a:avLst/>
        </a:prstGeom>
      </xdr:spPr>
    </xdr:pic>
    <xdr:clientData/>
  </xdr:twoCellAnchor>
  <xdr:twoCellAnchor editAs="oneCell">
    <xdr:from>
      <xdr:col>15</xdr:col>
      <xdr:colOff>114299</xdr:colOff>
      <xdr:row>8</xdr:row>
      <xdr:rowOff>171141</xdr:rowOff>
    </xdr:from>
    <xdr:to>
      <xdr:col>17</xdr:col>
      <xdr:colOff>417194</xdr:colOff>
      <xdr:row>15</xdr:row>
      <xdr:rowOff>39426</xdr:rowOff>
    </xdr:to>
    <xdr:pic>
      <xdr:nvPicPr>
        <xdr:cNvPr id="14" name="Picture 13" descr="People in meeting">
          <a:extLst>
            <a:ext uri="{FF2B5EF4-FFF2-40B4-BE49-F238E27FC236}">
              <a16:creationId xmlns:a16="http://schemas.microsoft.com/office/drawing/2014/main" id="{2D9DE578-6D9E-36A6-3E23-FAC0B2C84C85}"/>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0115549" y="1542741"/>
          <a:ext cx="1636395" cy="1068435"/>
        </a:xfrm>
        <a:prstGeom prst="rect">
          <a:avLst/>
        </a:prstGeom>
        <a:solidFill>
          <a:srgbClr val="FFFFFF">
            <a:shade val="85000"/>
          </a:srgbClr>
        </a:solidFill>
        <a:ln w="190500" cap="rnd">
          <a:solidFill>
            <a:srgbClr val="FFFFFF"/>
          </a:solidFill>
        </a:ln>
        <a:effectLst>
          <a:outerShdw blurRad="50000" algn="tl" rotWithShape="0">
            <a:srgbClr val="000000">
              <a:alpha val="41000"/>
            </a:srgbClr>
          </a:outerShdw>
        </a:effectLst>
        <a:scene3d>
          <a:camera prst="orthographicFront"/>
          <a:lightRig rig="twoPt" dir="t">
            <a:rot lat="0" lon="0" rev="7800000"/>
          </a:lightRig>
        </a:scene3d>
        <a:sp3d contourW="6350">
          <a:bevelT w="50800" h="16510"/>
          <a:contourClr>
            <a:srgbClr val="C0C0C0"/>
          </a:contourClr>
        </a:sp3d>
      </xdr:spPr>
    </xdr:pic>
    <xdr:clientData/>
  </xdr:twoCellAnchor>
</xdr:wsDr>
</file>

<file path=xl/drawings/drawing7.xml><?xml version="1.0" encoding="utf-8"?>
<c:userShapes xmlns:c="http://schemas.openxmlformats.org/drawingml/2006/chart">
  <cdr:relSizeAnchor xmlns:cdr="http://schemas.openxmlformats.org/drawingml/2006/chartDrawing">
    <cdr:from>
      <cdr:x>0.365</cdr:x>
      <cdr:y>0.50068</cdr:y>
    </cdr:from>
    <cdr:to>
      <cdr:x>0.45667</cdr:x>
      <cdr:y>0.58924</cdr:y>
    </cdr:to>
    <cdr:sp macro="" textlink="">
      <cdr:nvSpPr>
        <cdr:cNvPr id="2" name="TextBox 1">
          <a:extLst xmlns:a="http://schemas.openxmlformats.org/drawingml/2006/main">
            <a:ext uri="{FF2B5EF4-FFF2-40B4-BE49-F238E27FC236}">
              <a16:creationId xmlns:a16="http://schemas.microsoft.com/office/drawing/2014/main" id="{931232B5-BE91-A3D5-98FD-2B740FA2E866}"/>
            </a:ext>
          </a:extLst>
        </cdr:cNvPr>
        <cdr:cNvSpPr txBox="1"/>
      </cdr:nvSpPr>
      <cdr:spPr>
        <a:xfrm xmlns:a="http://schemas.openxmlformats.org/drawingml/2006/main">
          <a:off x="1668781" y="1400175"/>
          <a:ext cx="419100" cy="24765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GB" sz="1100" kern="1200"/>
        </a:p>
      </cdr:txBody>
    </cdr:sp>
  </cdr:relSizeAnchor>
  <cdr:relSizeAnchor xmlns:cdr="http://schemas.openxmlformats.org/drawingml/2006/chartDrawing">
    <cdr:from>
      <cdr:x>0.37958</cdr:x>
      <cdr:y>0.54496</cdr:y>
    </cdr:from>
    <cdr:to>
      <cdr:x>0.57958</cdr:x>
      <cdr:y>0.60967</cdr:y>
    </cdr:to>
    <cdr:sp macro="" textlink="">
      <cdr:nvSpPr>
        <cdr:cNvPr id="3" name="TextBox 2">
          <a:extLst xmlns:a="http://schemas.openxmlformats.org/drawingml/2006/main">
            <a:ext uri="{FF2B5EF4-FFF2-40B4-BE49-F238E27FC236}">
              <a16:creationId xmlns:a16="http://schemas.microsoft.com/office/drawing/2014/main" id="{242F7EF1-FBB3-75BF-80AF-4EC2306A1E39}"/>
            </a:ext>
          </a:extLst>
        </cdr:cNvPr>
        <cdr:cNvSpPr txBox="1"/>
      </cdr:nvSpPr>
      <cdr:spPr>
        <a:xfrm xmlns:a="http://schemas.openxmlformats.org/drawingml/2006/main">
          <a:off x="1735455" y="1524000"/>
          <a:ext cx="914400" cy="18097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GB" sz="1100" kern="1200"/>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mak" refreshedDate="45877.904286226854" createdVersion="8" refreshedVersion="8" minRefreshableVersion="3" recordCount="72" xr:uid="{456074A4-DB14-48CB-A382-DF3A6966D319}">
  <cacheSource type="worksheet">
    <worksheetSource name="RawData"/>
  </cacheSource>
  <cacheFields count="9">
    <cacheField name="Date" numFmtId="14">
      <sharedItems containsSemiMixedTypes="0" containsNonDate="0" containsDate="1" containsString="0" minDate="2022-10-01T00:00:00" maxDate="2023-01-01T00:00:00" count="50">
        <d v="2022-10-01T00:00:00"/>
        <d v="2022-10-02T00:00:00"/>
        <d v="2022-10-03T00:00:00"/>
        <d v="2022-10-08T00:00:00"/>
        <d v="2022-10-09T00:00:00"/>
        <d v="2022-10-10T00:00:00"/>
        <d v="2022-10-11T00:00:00"/>
        <d v="2022-10-16T00:00:00"/>
        <d v="2022-10-19T00:00:00"/>
        <d v="2022-10-20T00:00:00"/>
        <d v="2022-10-24T00:00:00"/>
        <d v="2022-10-25T00:00:00"/>
        <d v="2022-10-26T00:00:00"/>
        <d v="2022-10-27T00:00:00"/>
        <d v="2022-10-28T00:00:00"/>
        <d v="2022-10-30T00:00:00"/>
        <d v="2022-11-01T00:00:00"/>
        <d v="2022-11-04T00:00:00"/>
        <d v="2022-11-07T00:00:00"/>
        <d v="2022-11-09T00:00:00"/>
        <d v="2022-11-10T00:00:00"/>
        <d v="2022-11-11T00:00:00"/>
        <d v="2022-11-13T00:00:00"/>
        <d v="2022-11-16T00:00:00"/>
        <d v="2022-11-17T00:00:00"/>
        <d v="2022-11-19T00:00:00"/>
        <d v="2022-11-20T00:00:00"/>
        <d v="2022-11-23T00:00:00"/>
        <d v="2022-11-24T00:00:00"/>
        <d v="2022-11-25T00:00:00"/>
        <d v="2022-11-26T00:00:00"/>
        <d v="2022-11-27T00:00:00"/>
        <d v="2022-11-28T00:00:00"/>
        <d v="2022-11-30T00:00:00"/>
        <d v="2022-12-01T00:00:00"/>
        <d v="2022-12-02T00:00:00"/>
        <d v="2022-12-10T00:00:00"/>
        <d v="2022-12-12T00:00:00"/>
        <d v="2022-12-13T00:00:00"/>
        <d v="2022-12-14T00:00:00"/>
        <d v="2022-12-15T00:00:00"/>
        <d v="2022-12-19T00:00:00"/>
        <d v="2022-12-20T00:00:00"/>
        <d v="2022-12-22T00:00:00"/>
        <d v="2022-12-25T00:00:00"/>
        <d v="2022-12-26T00:00:00"/>
        <d v="2022-12-27T00:00:00"/>
        <d v="2022-12-28T00:00:00"/>
        <d v="2022-12-29T00:00:00"/>
        <d v="2022-12-31T00:00:00"/>
      </sharedItems>
      <fieldGroup par="8"/>
    </cacheField>
    <cacheField name="Description" numFmtId="0">
      <sharedItems/>
    </cacheField>
    <cacheField name="Category" numFmtId="0">
      <sharedItems count="6">
        <s v="Income"/>
        <s v="Flexing"/>
        <s v="Food &amp; Drinks"/>
        <s v="Personal Development"/>
        <s v="Housing &amp; Utilities"/>
        <s v="Clothing"/>
      </sharedItems>
    </cacheField>
    <cacheField name="Fund Class" numFmtId="0">
      <sharedItems count="2">
        <s v="Income"/>
        <s v="Expenses"/>
      </sharedItems>
    </cacheField>
    <cacheField name="Payment Method" numFmtId="0">
      <sharedItems count="2">
        <s v="Credit Card"/>
        <s v="Cash"/>
      </sharedItems>
    </cacheField>
    <cacheField name="Amount" numFmtId="0">
      <sharedItems containsSemiMixedTypes="0" containsString="0" containsNumber="1" containsInteger="1" minValue="1940" maxValue="400000"/>
    </cacheField>
    <cacheField name="Balance" numFmtId="0">
      <sharedItems containsSemiMixedTypes="0" containsString="0" containsNumber="1" containsInteger="1" minValue="141441" maxValue="926237"/>
    </cacheField>
    <cacheField name="Days (Date)" numFmtId="0" databaseField="0">
      <fieldGroup base="0">
        <rangePr groupBy="days" startDate="2022-10-01T00:00:00" endDate="2023-01-01T00:00:00"/>
        <groupItems count="368">
          <s v="&lt;01/10/2022"/>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3"/>
        </groupItems>
      </fieldGroup>
    </cacheField>
    <cacheField name="Months (Date)" numFmtId="0" databaseField="0">
      <fieldGroup base="0">
        <rangePr groupBy="months" startDate="2022-10-01T00:00:00" endDate="2023-01-01T00:00:00"/>
        <groupItems count="14">
          <s v="&lt;01/10/2022"/>
          <s v="Jan"/>
          <s v="Feb"/>
          <s v="Mar"/>
          <s v="Apr"/>
          <s v="May"/>
          <s v="Jun"/>
          <s v="Jul"/>
          <s v="Aug"/>
          <s v="Sep"/>
          <s v="Oct"/>
          <s v="Nov"/>
          <s v="Dec"/>
          <s v="&gt;01/01/2023"/>
        </groupItems>
      </fieldGroup>
    </cacheField>
  </cacheFields>
  <extLst>
    <ext xmlns:x14="http://schemas.microsoft.com/office/spreadsheetml/2009/9/main" uri="{725AE2AE-9491-48be-B2B4-4EB974FC3084}">
      <x14:pivotCacheDefinition pivotCacheId="77446216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2">
  <r>
    <x v="0"/>
    <s v="Salary"/>
    <x v="0"/>
    <x v="0"/>
    <x v="0"/>
    <n v="400000"/>
    <n v="400000"/>
  </r>
  <r>
    <x v="0"/>
    <s v="Date night with Amiyah"/>
    <x v="1"/>
    <x v="1"/>
    <x v="0"/>
    <n v="7092"/>
    <n v="392908"/>
  </r>
  <r>
    <x v="1"/>
    <s v="Lunch at Shiro"/>
    <x v="2"/>
    <x v="1"/>
    <x v="1"/>
    <n v="5403"/>
    <n v="387505"/>
  </r>
  <r>
    <x v="2"/>
    <s v="10Alytics Training"/>
    <x v="3"/>
    <x v="1"/>
    <x v="1"/>
    <n v="60000"/>
    <n v="327505"/>
  </r>
  <r>
    <x v="3"/>
    <s v="Breakfast at KFC"/>
    <x v="2"/>
    <x v="1"/>
    <x v="0"/>
    <n v="8844"/>
    <n v="318661"/>
  </r>
  <r>
    <x v="4"/>
    <s v="Lunch at Chicken Republic"/>
    <x v="2"/>
    <x v="1"/>
    <x v="0"/>
    <n v="7752"/>
    <n v="310909"/>
  </r>
  <r>
    <x v="4"/>
    <s v="Tennis Racket"/>
    <x v="3"/>
    <x v="1"/>
    <x v="0"/>
    <n v="6621"/>
    <n v="304288"/>
  </r>
  <r>
    <x v="5"/>
    <s v="Night at club"/>
    <x v="1"/>
    <x v="1"/>
    <x v="1"/>
    <n v="5347"/>
    <n v="298941"/>
  </r>
  <r>
    <x v="6"/>
    <s v="Coffee at Starbucks"/>
    <x v="2"/>
    <x v="1"/>
    <x v="1"/>
    <n v="5366"/>
    <n v="293575"/>
  </r>
  <r>
    <x v="7"/>
    <s v="Petrol for car"/>
    <x v="4"/>
    <x v="1"/>
    <x v="0"/>
    <n v="7449"/>
    <n v="286126"/>
  </r>
  <r>
    <x v="8"/>
    <s v="Gym subscription"/>
    <x v="3"/>
    <x v="1"/>
    <x v="1"/>
    <n v="9800"/>
    <n v="276326"/>
  </r>
  <r>
    <x v="8"/>
    <s v="McDonald's brunch"/>
    <x v="2"/>
    <x v="1"/>
    <x v="1"/>
    <n v="8492"/>
    <n v="267834"/>
  </r>
  <r>
    <x v="9"/>
    <s v="Spotify subscription"/>
    <x v="1"/>
    <x v="1"/>
    <x v="0"/>
    <n v="4300"/>
    <n v="263534"/>
  </r>
  <r>
    <x v="10"/>
    <s v="Lunch at Buzz"/>
    <x v="2"/>
    <x v="1"/>
    <x v="1"/>
    <n v="8647"/>
    <n v="254887"/>
  </r>
  <r>
    <x v="10"/>
    <s v="Petrol for car"/>
    <x v="4"/>
    <x v="1"/>
    <x v="1"/>
    <n v="6714"/>
    <n v="248173"/>
  </r>
  <r>
    <x v="10"/>
    <s v="Mainland Block Party"/>
    <x v="1"/>
    <x v="1"/>
    <x v="0"/>
    <n v="5079"/>
    <n v="243094"/>
  </r>
  <r>
    <x v="11"/>
    <s v="2 shirts and 4 trousers"/>
    <x v="5"/>
    <x v="1"/>
    <x v="1"/>
    <n v="17600"/>
    <n v="225494"/>
  </r>
  <r>
    <x v="11"/>
    <s v="House Rent"/>
    <x v="4"/>
    <x v="1"/>
    <x v="1"/>
    <n v="50000"/>
    <n v="175494"/>
  </r>
  <r>
    <x v="12"/>
    <s v="Internet and Phone Subscription"/>
    <x v="4"/>
    <x v="1"/>
    <x v="0"/>
    <n v="10000"/>
    <n v="165494"/>
  </r>
  <r>
    <x v="12"/>
    <s v="Coffee at Buzz"/>
    <x v="2"/>
    <x v="1"/>
    <x v="1"/>
    <n v="8963"/>
    <n v="156531"/>
  </r>
  <r>
    <x v="13"/>
    <s v="Movie at cinema"/>
    <x v="1"/>
    <x v="1"/>
    <x v="0"/>
    <n v="6509"/>
    <n v="150022"/>
  </r>
  <r>
    <x v="14"/>
    <s v="Grocery shopping"/>
    <x v="2"/>
    <x v="1"/>
    <x v="0"/>
    <n v="6641"/>
    <n v="143381"/>
  </r>
  <r>
    <x v="15"/>
    <s v="Microsoft Office Purchase"/>
    <x v="3"/>
    <x v="1"/>
    <x v="0"/>
    <n v="1940"/>
    <n v="141441"/>
  </r>
  <r>
    <x v="16"/>
    <s v="Salary"/>
    <x v="0"/>
    <x v="0"/>
    <x v="0"/>
    <n v="400000"/>
    <n v="541441"/>
  </r>
  <r>
    <x v="17"/>
    <s v="Coffee at Starbucks"/>
    <x v="2"/>
    <x v="1"/>
    <x v="1"/>
    <n v="5950"/>
    <n v="535491"/>
  </r>
  <r>
    <x v="18"/>
    <s v="Breakfast at Chicken Republic"/>
    <x v="2"/>
    <x v="1"/>
    <x v="1"/>
    <n v="7957"/>
    <n v="527534"/>
  </r>
  <r>
    <x v="19"/>
    <s v="Grocery shopping"/>
    <x v="2"/>
    <x v="1"/>
    <x v="1"/>
    <n v="8782"/>
    <n v="518752"/>
  </r>
  <r>
    <x v="20"/>
    <s v="Deodorant and Perfume purchase"/>
    <x v="4"/>
    <x v="1"/>
    <x v="1"/>
    <n v="9642"/>
    <n v="509110"/>
  </r>
  <r>
    <x v="21"/>
    <s v="Grocery shopping"/>
    <x v="2"/>
    <x v="1"/>
    <x v="1"/>
    <n v="12109"/>
    <n v="497001"/>
  </r>
  <r>
    <x v="22"/>
    <s v="Birthday party"/>
    <x v="1"/>
    <x v="1"/>
    <x v="0"/>
    <n v="7149"/>
    <n v="489852"/>
  </r>
  <r>
    <x v="22"/>
    <s v="Petrol for car"/>
    <x v="4"/>
    <x v="1"/>
    <x v="0"/>
    <n v="6392"/>
    <n v="483460"/>
  </r>
  <r>
    <x v="23"/>
    <s v="Petrol for car"/>
    <x v="4"/>
    <x v="1"/>
    <x v="1"/>
    <n v="5014"/>
    <n v="478446"/>
  </r>
  <r>
    <x v="24"/>
    <s v="Grocery shopping"/>
    <x v="2"/>
    <x v="1"/>
    <x v="0"/>
    <n v="8691"/>
    <n v="469755"/>
  </r>
  <r>
    <x v="24"/>
    <s v="Udemy course"/>
    <x v="3"/>
    <x v="1"/>
    <x v="1"/>
    <n v="6026"/>
    <n v="463729"/>
  </r>
  <r>
    <x v="25"/>
    <s v="Gym subscription"/>
    <x v="3"/>
    <x v="1"/>
    <x v="0"/>
    <n v="9800"/>
    <n v="453929"/>
  </r>
  <r>
    <x v="26"/>
    <s v="Grocery shopping"/>
    <x v="2"/>
    <x v="1"/>
    <x v="1"/>
    <n v="10854"/>
    <n v="443075"/>
  </r>
  <r>
    <x v="26"/>
    <s v="Coffee at Starbucks"/>
    <x v="2"/>
    <x v="1"/>
    <x v="0"/>
    <n v="12734"/>
    <n v="430341"/>
  </r>
  <r>
    <x v="26"/>
    <s v="Grocery shopping"/>
    <x v="2"/>
    <x v="1"/>
    <x v="0"/>
    <n v="10900"/>
    <n v="419441"/>
  </r>
  <r>
    <x v="27"/>
    <s v="Coffee at Starbucks"/>
    <x v="2"/>
    <x v="1"/>
    <x v="0"/>
    <n v="8713"/>
    <n v="410728"/>
  </r>
  <r>
    <x v="28"/>
    <s v="Spotify subscription"/>
    <x v="1"/>
    <x v="1"/>
    <x v="0"/>
    <n v="4300"/>
    <n v="406428"/>
  </r>
  <r>
    <x v="29"/>
    <s v="House Rent"/>
    <x v="4"/>
    <x v="1"/>
    <x v="0"/>
    <n v="50000"/>
    <n v="356428"/>
  </r>
  <r>
    <x v="30"/>
    <s v="Internet and Phone Subscription"/>
    <x v="4"/>
    <x v="1"/>
    <x v="1"/>
    <n v="10000"/>
    <n v="346428"/>
  </r>
  <r>
    <x v="31"/>
    <s v="Sneakers purchase"/>
    <x v="5"/>
    <x v="1"/>
    <x v="1"/>
    <n v="14300"/>
    <n v="332128"/>
  </r>
  <r>
    <x v="31"/>
    <s v="Business School Training"/>
    <x v="3"/>
    <x v="1"/>
    <x v="0"/>
    <n v="11845"/>
    <n v="320283"/>
  </r>
  <r>
    <x v="32"/>
    <s v="Breakfast at KFC"/>
    <x v="2"/>
    <x v="1"/>
    <x v="1"/>
    <n v="8349"/>
    <n v="311934"/>
  </r>
  <r>
    <x v="33"/>
    <s v="New books purchase"/>
    <x v="3"/>
    <x v="1"/>
    <x v="0"/>
    <n v="18000"/>
    <n v="293934"/>
  </r>
  <r>
    <x v="33"/>
    <s v="Shawarma at Yaba - Lunch"/>
    <x v="2"/>
    <x v="1"/>
    <x v="0"/>
    <n v="11657"/>
    <n v="282277"/>
  </r>
  <r>
    <x v="33"/>
    <s v="Microsoft Office Purchase"/>
    <x v="3"/>
    <x v="1"/>
    <x v="1"/>
    <n v="1940"/>
    <n v="280337"/>
  </r>
  <r>
    <x v="34"/>
    <s v="Salary"/>
    <x v="0"/>
    <x v="0"/>
    <x v="0"/>
    <n v="400000"/>
    <n v="680337"/>
  </r>
  <r>
    <x v="34"/>
    <s v="Christmas bonus"/>
    <x v="0"/>
    <x v="0"/>
    <x v="0"/>
    <n v="150000"/>
    <n v="830337"/>
  </r>
  <r>
    <x v="35"/>
    <s v="Interest from Investment"/>
    <x v="0"/>
    <x v="0"/>
    <x v="0"/>
    <n v="95900"/>
    <n v="926237"/>
  </r>
  <r>
    <x v="36"/>
    <s v="Davido's concert"/>
    <x v="1"/>
    <x v="1"/>
    <x v="1"/>
    <n v="10000"/>
    <n v="916237"/>
  </r>
  <r>
    <x v="37"/>
    <s v="Games Night contribution"/>
    <x v="1"/>
    <x v="1"/>
    <x v="0"/>
    <n v="5500"/>
    <n v="910737"/>
  </r>
  <r>
    <x v="37"/>
    <s v="Boat cruise"/>
    <x v="1"/>
    <x v="1"/>
    <x v="0"/>
    <n v="15000"/>
    <n v="895737"/>
  </r>
  <r>
    <x v="38"/>
    <s v="Christmas house decoration"/>
    <x v="4"/>
    <x v="1"/>
    <x v="0"/>
    <n v="32300"/>
    <n v="863437"/>
  </r>
  <r>
    <x v="39"/>
    <s v="Apple watch purchase"/>
    <x v="1"/>
    <x v="1"/>
    <x v="1"/>
    <n v="35900"/>
    <n v="827537"/>
  </r>
  <r>
    <x v="39"/>
    <s v="2 shirts and 4 trousers"/>
    <x v="5"/>
    <x v="1"/>
    <x v="0"/>
    <n v="38000"/>
    <n v="789537"/>
  </r>
  <r>
    <x v="40"/>
    <s v="Grocery shopping"/>
    <x v="2"/>
    <x v="1"/>
    <x v="1"/>
    <n v="6878"/>
    <n v="782659"/>
  </r>
  <r>
    <x v="41"/>
    <s v="Grocery shopping"/>
    <x v="2"/>
    <x v="1"/>
    <x v="1"/>
    <n v="5446"/>
    <n v="777213"/>
  </r>
  <r>
    <x v="41"/>
    <s v="Gym subscription"/>
    <x v="3"/>
    <x v="1"/>
    <x v="0"/>
    <n v="9800"/>
    <n v="767413"/>
  </r>
  <r>
    <x v="42"/>
    <s v="Grocery shopping"/>
    <x v="2"/>
    <x v="1"/>
    <x v="1"/>
    <n v="7616"/>
    <n v="759797"/>
  </r>
  <r>
    <x v="42"/>
    <s v="Spotify subscription"/>
    <x v="1"/>
    <x v="1"/>
    <x v="1"/>
    <n v="4300"/>
    <n v="755497"/>
  </r>
  <r>
    <x v="43"/>
    <s v="Dinner at Eko Hotel"/>
    <x v="1"/>
    <x v="1"/>
    <x v="1"/>
    <n v="5718"/>
    <n v="749779"/>
  </r>
  <r>
    <x v="44"/>
    <s v="House Rent"/>
    <x v="4"/>
    <x v="1"/>
    <x v="0"/>
    <n v="50000"/>
    <n v="699779"/>
  </r>
  <r>
    <x v="45"/>
    <s v="Internet and Phone Subscription"/>
    <x v="4"/>
    <x v="1"/>
    <x v="1"/>
    <n v="10000"/>
    <n v="689779"/>
  </r>
  <r>
    <x v="45"/>
    <s v="Lunch at Kapadoccia"/>
    <x v="2"/>
    <x v="1"/>
    <x v="0"/>
    <n v="6383"/>
    <n v="683396"/>
  </r>
  <r>
    <x v="46"/>
    <s v="Petrol for car"/>
    <x v="4"/>
    <x v="1"/>
    <x v="0"/>
    <n v="11670"/>
    <n v="671726"/>
  </r>
  <r>
    <x v="46"/>
    <s v="Coffee at Starbucks"/>
    <x v="2"/>
    <x v="1"/>
    <x v="0"/>
    <n v="8108"/>
    <n v="663618"/>
  </r>
  <r>
    <x v="47"/>
    <s v="Coffee at Starbucks"/>
    <x v="2"/>
    <x v="1"/>
    <x v="0"/>
    <n v="6675"/>
    <n v="656943"/>
  </r>
  <r>
    <x v="47"/>
    <s v="Night at club"/>
    <x v="1"/>
    <x v="1"/>
    <x v="0"/>
    <n v="65900"/>
    <n v="591043"/>
  </r>
  <r>
    <x v="48"/>
    <s v="Laptop Repair"/>
    <x v="4"/>
    <x v="1"/>
    <x v="1"/>
    <n v="6189"/>
    <n v="584854"/>
  </r>
  <r>
    <x v="49"/>
    <s v="Microsoft Office Purchase"/>
    <x v="3"/>
    <x v="1"/>
    <x v="0"/>
    <n v="1940"/>
    <n v="58291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BE16C94-4B50-44AE-89D3-4E947EC0D546}" name="Expenses by month"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4:C6" firstHeaderRow="1" firstDataRow="1" firstDataCol="1" rowPageCount="1" colPageCount="1"/>
  <pivotFields count="9">
    <pivotField numFmtId="14"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pivotField showAll="0">
      <items count="7">
        <item h="1" x="5"/>
        <item x="1"/>
        <item x="2"/>
        <item h="1" x="4"/>
        <item x="0"/>
        <item x="3"/>
        <item t="default"/>
      </items>
    </pivotField>
    <pivotField axis="axisPage" showAll="0">
      <items count="3">
        <item x="1"/>
        <item x="0"/>
        <item t="default"/>
      </items>
    </pivotField>
    <pivotField showAll="0">
      <items count="3">
        <item h="1" x="1"/>
        <item x="0"/>
        <item t="default"/>
      </items>
    </pivotField>
    <pivotField dataField="1"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h="1" sd="0" x="0"/>
        <item h="1" sd="0" x="1"/>
        <item h="1" sd="0" x="2"/>
        <item h="1" sd="0" x="3"/>
        <item h="1" sd="0" x="4"/>
        <item h="1" sd="0" x="5"/>
        <item h="1" sd="0" x="6"/>
        <item h="1" sd="0" x="7"/>
        <item h="1" sd="0" x="8"/>
        <item h="1" sd="0" x="9"/>
        <item h="1" sd="0" x="10"/>
        <item sd="0" x="11"/>
        <item h="1" sd="0" x="12"/>
        <item h="1" sd="0" x="13"/>
        <item t="default"/>
      </items>
    </pivotField>
  </pivotFields>
  <rowFields count="1">
    <field x="8"/>
  </rowFields>
  <rowItems count="2">
    <i>
      <x v="11"/>
    </i>
    <i t="grand">
      <x/>
    </i>
  </rowItems>
  <colItems count="1">
    <i/>
  </colItems>
  <pageFields count="1">
    <pageField fld="3" item="0" hier="-1"/>
  </pageFields>
  <dataFields count="1">
    <dataField name="Sum of Amount" fld="5" baseField="0" baseItem="0" numFmtId="4"/>
  </dataFields>
  <formats count="4">
    <format dxfId="14">
      <pivotArea collapsedLevelsAreSubtotals="1" fieldPosition="0">
        <references count="1">
          <reference field="8" count="1">
            <x v="11"/>
          </reference>
        </references>
      </pivotArea>
    </format>
    <format dxfId="13">
      <pivotArea collapsedLevelsAreSubtotals="1" fieldPosition="0">
        <references count="1">
          <reference field="8" count="1">
            <x v="10"/>
          </reference>
        </references>
      </pivotArea>
    </format>
    <format dxfId="12">
      <pivotArea collapsedLevelsAreSubtotals="1" fieldPosition="0">
        <references count="1">
          <reference field="8" count="1">
            <x v="12"/>
          </reference>
        </references>
      </pivotArea>
    </format>
    <format dxfId="11">
      <pivotArea grandRow="1"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4103D29-C652-414F-B62B-822B67CAB03C}" name="Expenses bt Category"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B5:C9" firstHeaderRow="1" firstDataRow="1" firstDataCol="1" rowPageCount="1" colPageCount="1"/>
  <pivotFields count="9">
    <pivotField numFmtId="14"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pivotField axis="axisRow" showAll="0" sortType="descending">
      <items count="7">
        <item h="1" x="5"/>
        <item x="1"/>
        <item x="2"/>
        <item h="1" x="4"/>
        <item x="0"/>
        <item x="3"/>
        <item t="default"/>
      </items>
      <autoSortScope>
        <pivotArea dataOnly="0" outline="0" fieldPosition="0">
          <references count="1">
            <reference field="4294967294" count="1" selected="0">
              <x v="0"/>
            </reference>
          </references>
        </pivotArea>
      </autoSortScope>
    </pivotField>
    <pivotField axis="axisPage" showAll="0">
      <items count="3">
        <item x="1"/>
        <item x="0"/>
        <item t="default"/>
      </items>
    </pivotField>
    <pivotField showAll="0">
      <items count="3">
        <item h="1" x="1"/>
        <item x="0"/>
        <item t="default"/>
      </items>
    </pivotField>
    <pivotField dataField="1" showAll="0"/>
    <pivotField showAll="0"/>
    <pivotField showAll="0" defaultSubtotal="0"/>
    <pivotField showAll="0" defaultSubtotal="0">
      <items count="14">
        <item h="1" x="0"/>
        <item h="1" x="1"/>
        <item h="1" x="2"/>
        <item h="1" x="3"/>
        <item h="1" x="4"/>
        <item h="1" x="5"/>
        <item h="1" x="6"/>
        <item h="1" x="7"/>
        <item h="1" x="8"/>
        <item h="1" x="9"/>
        <item h="1" x="10"/>
        <item x="11"/>
        <item h="1" x="12"/>
        <item h="1" x="13"/>
      </items>
    </pivotField>
  </pivotFields>
  <rowFields count="1">
    <field x="2"/>
  </rowFields>
  <rowItems count="4">
    <i>
      <x v="2"/>
    </i>
    <i>
      <x v="5"/>
    </i>
    <i>
      <x v="1"/>
    </i>
    <i t="grand">
      <x/>
    </i>
  </rowItems>
  <colItems count="1">
    <i/>
  </colItems>
  <pageFields count="1">
    <pageField fld="3" item="0" hier="-1"/>
  </pageFields>
  <dataFields count="1">
    <dataField name="Sum of Amount" fld="5" baseField="0" baseItem="0" numFmtId="164"/>
  </dataField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8403C79-292C-4948-BF34-5BAC772E1009}" name="Count of Spend onExp Category"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Category">
  <location ref="A3:B7" firstHeaderRow="1" firstDataRow="1" firstDataCol="1" rowPageCount="1" colPageCount="1"/>
  <pivotFields count="9">
    <pivotField numFmtId="14"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pivotField axis="axisRow" showAll="0">
      <items count="7">
        <item h="1" x="5"/>
        <item x="1"/>
        <item x="2"/>
        <item h="1" x="4"/>
        <item x="0"/>
        <item x="3"/>
        <item t="default"/>
      </items>
    </pivotField>
    <pivotField axis="axisPage" showAll="0">
      <items count="3">
        <item x="1"/>
        <item x="0"/>
        <item t="default"/>
      </items>
    </pivotField>
    <pivotField showAll="0">
      <items count="3">
        <item h="1" x="1"/>
        <item x="0"/>
        <item t="default"/>
      </items>
    </pivotField>
    <pivotField dataField="1" showAll="0"/>
    <pivotField showAll="0"/>
    <pivotField showAll="0" defaultSubtotal="0"/>
    <pivotField showAll="0" defaultSubtotal="0">
      <items count="14">
        <item h="1" x="0"/>
        <item h="1" x="1"/>
        <item h="1" x="2"/>
        <item h="1" x="3"/>
        <item h="1" x="4"/>
        <item h="1" x="5"/>
        <item h="1" x="6"/>
        <item h="1" x="7"/>
        <item h="1" x="8"/>
        <item h="1" x="9"/>
        <item h="1" x="10"/>
        <item x="11"/>
        <item h="1" x="12"/>
        <item h="1" x="13"/>
      </items>
    </pivotField>
  </pivotFields>
  <rowFields count="1">
    <field x="2"/>
  </rowFields>
  <rowItems count="4">
    <i>
      <x v="1"/>
    </i>
    <i>
      <x v="2"/>
    </i>
    <i>
      <x v="5"/>
    </i>
    <i t="grand">
      <x/>
    </i>
  </rowItems>
  <colItems count="1">
    <i/>
  </colItems>
  <pageFields count="1">
    <pageField fld="3" item="0" hier="-1"/>
  </pageFields>
  <dataFields count="1">
    <dataField name="Count of Amount" fld="5" subtotal="count" baseField="2"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BEADE05-DCA5-4B85-B559-4E73C647C4D3}" name="Exepense V Income"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6" firstHeaderRow="1" firstDataRow="1" firstDataCol="1"/>
  <pivotFields count="9">
    <pivotField numFmtId="14"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pivotField showAll="0">
      <items count="7">
        <item h="1" x="5"/>
        <item x="1"/>
        <item x="2"/>
        <item h="1" x="4"/>
        <item x="0"/>
        <item x="3"/>
        <item t="default"/>
      </items>
    </pivotField>
    <pivotField axis="axisRow" showAll="0">
      <items count="3">
        <item x="1"/>
        <item x="0"/>
        <item t="default"/>
      </items>
    </pivotField>
    <pivotField showAll="0">
      <items count="3">
        <item h="1" x="1"/>
        <item x="0"/>
        <item t="default"/>
      </items>
    </pivotField>
    <pivotField dataField="1" showAll="0"/>
    <pivotField showAll="0"/>
    <pivotField showAll="0" defaultSubtotal="0"/>
    <pivotField showAll="0" defaultSubtotal="0">
      <items count="14">
        <item h="1" x="0"/>
        <item h="1" x="1"/>
        <item h="1" x="2"/>
        <item h="1" x="3"/>
        <item h="1" x="4"/>
        <item h="1" x="5"/>
        <item h="1" x="6"/>
        <item h="1" x="7"/>
        <item h="1" x="8"/>
        <item h="1" x="9"/>
        <item h="1" x="10"/>
        <item x="11"/>
        <item h="1" x="12"/>
        <item h="1" x="13"/>
      </items>
    </pivotField>
  </pivotFields>
  <rowFields count="1">
    <field x="3"/>
  </rowFields>
  <rowItems count="3">
    <i>
      <x/>
    </i>
    <i>
      <x v="1"/>
    </i>
    <i t="grand">
      <x/>
    </i>
  </rowItems>
  <colItems count="1">
    <i/>
  </colItems>
  <dataFields count="1">
    <dataField name="Sum of Amount" fld="5" baseField="0" baseItem="0" numFmtId="165"/>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3" count="1" selected="0">
            <x v="0"/>
          </reference>
        </references>
      </pivotArea>
    </chartFormat>
    <chartFormat chart="3" format="7">
      <pivotArea type="data" outline="0" fieldPosition="0">
        <references count="2">
          <reference field="4294967294" count="1" selected="0">
            <x v="0"/>
          </reference>
          <reference field="3" count="1" selected="0">
            <x v="1"/>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E8084DAF-8F9F-48A0-B465-0C43814FB931}" sourceName="Months (Date)">
  <pivotTables>
    <pivotTable tabId="5" name="Exepense V Income"/>
    <pivotTable tabId="4" name="Count of Spend onExp Category"/>
    <pivotTable tabId="3" name="Expenses bt Category"/>
    <pivotTable tabId="2" name="Expenses by month"/>
  </pivotTables>
  <data>
    <tabular pivotCacheId="774462163">
      <items count="14">
        <i x="10"/>
        <i x="11" s="1"/>
        <i x="12"/>
        <i x="1" nd="1"/>
        <i x="2" nd="1"/>
        <i x="3" nd="1"/>
        <i x="4" nd="1"/>
        <i x="5" nd="1"/>
        <i x="6" nd="1"/>
        <i x="7" nd="1"/>
        <i x="8" nd="1"/>
        <i x="9" nd="1"/>
        <i x="0" nd="1"/>
        <i x="13"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EF1807C8-D350-4D7A-926F-D8436703A362}" sourceName="Category">
  <pivotTables>
    <pivotTable tabId="3" name="Expenses bt Category"/>
    <pivotTable tabId="4" name="Count of Spend onExp Category"/>
    <pivotTable tabId="2" name="Expenses by month"/>
    <pivotTable tabId="5" name="Exepense V Income"/>
  </pivotTables>
  <data>
    <tabular pivotCacheId="774462163">
      <items count="6">
        <i x="1" s="1"/>
        <i x="2" s="1"/>
        <i x="4"/>
        <i x="0" s="1"/>
        <i x="3" s="1"/>
        <i x="5"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885DA575-6064-49CD-ACBA-66627CEEB830}" sourceName="Payment Method">
  <pivotTables>
    <pivotTable tabId="4" name="Count of Spend onExp Category"/>
    <pivotTable tabId="3" name="Expenses bt Category"/>
    <pivotTable tabId="2" name="Expenses by month"/>
    <pivotTable tabId="5" name="Exepense V Income"/>
  </pivotTables>
  <data>
    <tabular pivotCacheId="774462163">
      <items count="2">
        <i x="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Date)" xr10:uid="{01EEEEA3-3124-4787-B011-B478553BBBCA}" cache="Slicer_Months__Date" caption="Months (Dat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Date) 1" xr10:uid="{0B462A15-6377-491E-BC9D-D862A1295F00}" cache="Slicer_Months__Date" caption="Months (Date)" rowHeight="234950"/>
  <slicer name="Category" xr10:uid="{5EB4FDE6-2D90-48D4-B02F-3C19246574FB}" cache="Slicer_Category" caption="Category" style="SlicerStyleLight4" rowHeight="234950"/>
  <slicer name="Payment Method" xr10:uid="{104F96BE-6DF5-4E61-BD55-336E385A3038}" cache="Slicer_Payment_Method" caption="Payment Method" style="SlicerStyleLight6"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A4BAD0B-17F6-4744-BECE-02A5202D1FE0}" name="RawData" displayName="RawData" ref="B2:H74" totalsRowShown="0" headerRowDxfId="10" dataDxfId="9">
  <autoFilter ref="B2:H74" xr:uid="{7A4BAD0B-17F6-4744-BECE-02A5202D1FE0}"/>
  <tableColumns count="7">
    <tableColumn id="1" xr3:uid="{7B45F746-9CF1-40EA-A6EF-4524CDAACE45}" name="Date" dataDxfId="8"/>
    <tableColumn id="2" xr3:uid="{E1CDB05B-4831-4507-901C-3BBA57E215D1}" name="Description" dataDxfId="7"/>
    <tableColumn id="3" xr3:uid="{B47606B6-9AC1-48F6-9FDB-2733FF027EDD}" name="Category" dataDxfId="6"/>
    <tableColumn id="4" xr3:uid="{B9421AC0-4C36-416E-9CCA-427D846771DC}" name="Fund Class" dataDxfId="5"/>
    <tableColumn id="5" xr3:uid="{59B0A635-BDAF-4140-981B-1A55C9E68F91}" name="Payment Method" dataDxfId="4"/>
    <tableColumn id="6" xr3:uid="{D5351B87-AE05-4AF0-BE51-E6DFAA6E9BF0}" name="Amount" dataDxfId="3"/>
    <tableColumn id="7" xr3:uid="{4320E252-3259-4957-AD86-4FD75A10A32A}" name="Balance">
      <calculatedColumnFormula>IF(E3="Expenses",H2-G3,H2+G3)</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0DB8A7-6339-4988-9FDF-E6397767AD76}">
  <dimension ref="B2:H30"/>
  <sheetViews>
    <sheetView workbookViewId="0">
      <selection activeCell="C4" sqref="C4"/>
    </sheetView>
  </sheetViews>
  <sheetFormatPr defaultRowHeight="13.8" x14ac:dyDescent="0.25"/>
  <cols>
    <col min="2" max="2" width="13.09765625" bestFit="1" customWidth="1"/>
    <col min="3" max="3" width="14.59765625" bestFit="1" customWidth="1"/>
    <col min="13" max="13" width="25.3984375" bestFit="1" customWidth="1"/>
  </cols>
  <sheetData>
    <row r="2" spans="2:8" x14ac:dyDescent="0.25">
      <c r="B2" s="4" t="s">
        <v>3</v>
      </c>
      <c r="C2" t="s">
        <v>11</v>
      </c>
      <c r="E2" s="3"/>
      <c r="H2" t="s">
        <v>60</v>
      </c>
    </row>
    <row r="4" spans="2:8" x14ac:dyDescent="0.25">
      <c r="B4" s="4" t="s">
        <v>61</v>
      </c>
      <c r="C4" t="s">
        <v>64</v>
      </c>
    </row>
    <row r="5" spans="2:8" x14ac:dyDescent="0.25">
      <c r="B5" s="5" t="s">
        <v>63</v>
      </c>
      <c r="C5" s="6">
        <v>103789</v>
      </c>
    </row>
    <row r="6" spans="2:8" x14ac:dyDescent="0.25">
      <c r="B6" s="5" t="s">
        <v>62</v>
      </c>
      <c r="C6" s="6">
        <v>103789</v>
      </c>
    </row>
    <row r="30" spans="2:2" x14ac:dyDescent="0.25">
      <c r="B30" s="3"/>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815D4-1A20-46EF-A475-7A885FBB8B69}">
  <dimension ref="C2:H9"/>
  <sheetViews>
    <sheetView workbookViewId="0">
      <selection activeCell="F20" sqref="F20"/>
    </sheetView>
  </sheetViews>
  <sheetFormatPr defaultRowHeight="13.8" x14ac:dyDescent="0.25"/>
  <cols>
    <col min="5" max="5" width="19.59765625" bestFit="1" customWidth="1"/>
    <col min="8" max="8" width="16.09765625" bestFit="1" customWidth="1"/>
  </cols>
  <sheetData>
    <row r="2" spans="3:8" ht="17.399999999999999" x14ac:dyDescent="0.3">
      <c r="E2" s="9" t="s">
        <v>66</v>
      </c>
      <c r="F2" s="3" t="s">
        <v>67</v>
      </c>
    </row>
    <row r="3" spans="3:8" ht="17.399999999999999" x14ac:dyDescent="0.3">
      <c r="E3" s="9"/>
    </row>
    <row r="4" spans="3:8" x14ac:dyDescent="0.25">
      <c r="C4" s="6">
        <v>400000</v>
      </c>
      <c r="E4" s="10" t="s">
        <v>68</v>
      </c>
      <c r="F4" s="10" t="s">
        <v>69</v>
      </c>
      <c r="G4" s="11"/>
      <c r="H4" s="10" t="s">
        <v>70</v>
      </c>
    </row>
    <row r="5" spans="3:8" x14ac:dyDescent="0.25">
      <c r="E5" s="10" t="s">
        <v>10</v>
      </c>
      <c r="F5" s="11">
        <v>60000</v>
      </c>
      <c r="G5" s="11">
        <f>SUMIF(RawData[Category],E5,RawData[Amount])</f>
        <v>182094</v>
      </c>
      <c r="H5" s="11">
        <f>F5-G5</f>
        <v>-122094</v>
      </c>
    </row>
    <row r="6" spans="3:8" x14ac:dyDescent="0.25">
      <c r="E6" s="10" t="s">
        <v>13</v>
      </c>
      <c r="F6" s="11">
        <v>360000</v>
      </c>
      <c r="G6" s="11">
        <f>SUMIF(RawData[Category],E6,RawData[Amount])</f>
        <v>207910</v>
      </c>
      <c r="H6" s="11">
        <f t="shared" ref="H6:H9" si="0">F6-G6</f>
        <v>152090</v>
      </c>
    </row>
    <row r="7" spans="3:8" x14ac:dyDescent="0.25">
      <c r="E7" s="10" t="s">
        <v>16</v>
      </c>
      <c r="F7" s="11">
        <v>120000</v>
      </c>
      <c r="G7" s="11">
        <f>SUMIF(RawData[Category],E7,RawData[Amount])</f>
        <v>137712</v>
      </c>
      <c r="H7" s="11">
        <f t="shared" si="0"/>
        <v>-17712</v>
      </c>
    </row>
    <row r="8" spans="3:8" x14ac:dyDescent="0.25">
      <c r="E8" s="10" t="s">
        <v>23</v>
      </c>
      <c r="F8" s="11">
        <v>480000</v>
      </c>
      <c r="G8" s="11">
        <f>SUMIF(RawData[Category],E8,RawData[Amount])</f>
        <v>265370</v>
      </c>
      <c r="H8" s="11">
        <f t="shared" si="0"/>
        <v>214630</v>
      </c>
    </row>
    <row r="9" spans="3:8" x14ac:dyDescent="0.25">
      <c r="E9" s="10" t="s">
        <v>30</v>
      </c>
      <c r="F9" s="11">
        <v>120000</v>
      </c>
      <c r="G9" s="11">
        <f>SUMIF(RawData[Category],E9,RawData[Amount])</f>
        <v>69900</v>
      </c>
      <c r="H9" s="11">
        <f t="shared" si="0"/>
        <v>50100</v>
      </c>
    </row>
  </sheetData>
  <conditionalFormatting sqref="H5:H9">
    <cfRule type="cellIs" dxfId="2" priority="1" operator="lessThan">
      <formula>46268</formula>
    </cfRule>
    <cfRule type="cellIs" dxfId="1" priority="2" operator="greaterThan">
      <formula>46268</formula>
    </cfRule>
    <cfRule type="cellIs" dxfId="0" priority="3" operator="equal">
      <formula>46268</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35A2B3-3542-469C-BD07-81E097653D0D}">
  <dimension ref="B2:C9"/>
  <sheetViews>
    <sheetView workbookViewId="0">
      <selection activeCell="C6" sqref="C6"/>
    </sheetView>
  </sheetViews>
  <sheetFormatPr defaultRowHeight="13.8" x14ac:dyDescent="0.25"/>
  <cols>
    <col min="2" max="2" width="19.59765625" bestFit="1" customWidth="1"/>
    <col min="3" max="3" width="14.59765625" bestFit="1" customWidth="1"/>
  </cols>
  <sheetData>
    <row r="2" spans="2:3" x14ac:dyDescent="0.25">
      <c r="B2" t="s">
        <v>57</v>
      </c>
    </row>
    <row r="3" spans="2:3" x14ac:dyDescent="0.25">
      <c r="B3" s="4" t="s">
        <v>3</v>
      </c>
      <c r="C3" t="s">
        <v>11</v>
      </c>
    </row>
    <row r="5" spans="2:3" x14ac:dyDescent="0.25">
      <c r="B5" s="4" t="s">
        <v>61</v>
      </c>
      <c r="C5" t="s">
        <v>64</v>
      </c>
    </row>
    <row r="6" spans="2:3" x14ac:dyDescent="0.25">
      <c r="B6" s="5" t="s">
        <v>13</v>
      </c>
      <c r="C6" s="7">
        <v>52695</v>
      </c>
    </row>
    <row r="7" spans="2:3" x14ac:dyDescent="0.25">
      <c r="B7" s="5" t="s">
        <v>16</v>
      </c>
      <c r="C7" s="7">
        <v>39645</v>
      </c>
    </row>
    <row r="8" spans="2:3" x14ac:dyDescent="0.25">
      <c r="B8" s="5" t="s">
        <v>10</v>
      </c>
      <c r="C8" s="7">
        <v>11449</v>
      </c>
    </row>
    <row r="9" spans="2:3" x14ac:dyDescent="0.25">
      <c r="B9" s="5" t="s">
        <v>62</v>
      </c>
      <c r="C9" s="7">
        <v>103789</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E4755-1024-430E-96AC-1CBCD91835FE}">
  <dimension ref="A1:B7"/>
  <sheetViews>
    <sheetView topLeftCell="A13" workbookViewId="0">
      <selection activeCell="I34" sqref="I34"/>
    </sheetView>
  </sheetViews>
  <sheetFormatPr defaultRowHeight="13.8" x14ac:dyDescent="0.25"/>
  <cols>
    <col min="1" max="1" width="19.59765625" bestFit="1" customWidth="1"/>
    <col min="2" max="2" width="15.796875" bestFit="1" customWidth="1"/>
  </cols>
  <sheetData>
    <row r="1" spans="1:2" x14ac:dyDescent="0.25">
      <c r="A1" s="4" t="s">
        <v>3</v>
      </c>
      <c r="B1" t="s">
        <v>11</v>
      </c>
    </row>
    <row r="3" spans="1:2" x14ac:dyDescent="0.25">
      <c r="A3" s="4" t="s">
        <v>2</v>
      </c>
      <c r="B3" t="s">
        <v>65</v>
      </c>
    </row>
    <row r="4" spans="1:2" x14ac:dyDescent="0.25">
      <c r="A4" s="5" t="s">
        <v>10</v>
      </c>
      <c r="B4" s="12">
        <v>2</v>
      </c>
    </row>
    <row r="5" spans="1:2" x14ac:dyDescent="0.25">
      <c r="A5" s="5" t="s">
        <v>13</v>
      </c>
      <c r="B5" s="12">
        <v>5</v>
      </c>
    </row>
    <row r="6" spans="1:2" x14ac:dyDescent="0.25">
      <c r="A6" s="5" t="s">
        <v>16</v>
      </c>
      <c r="B6" s="12">
        <v>3</v>
      </c>
    </row>
    <row r="7" spans="1:2" x14ac:dyDescent="0.25">
      <c r="A7" s="5" t="s">
        <v>62</v>
      </c>
      <c r="B7" s="12">
        <v>10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1E69C-E978-4808-A645-055055A46F87}">
  <dimension ref="A3:C6"/>
  <sheetViews>
    <sheetView workbookViewId="0">
      <selection activeCell="B4" sqref="B4"/>
    </sheetView>
  </sheetViews>
  <sheetFormatPr defaultRowHeight="13.8" x14ac:dyDescent="0.25"/>
  <cols>
    <col min="1" max="1" width="13.09765625" bestFit="1" customWidth="1"/>
    <col min="2" max="2" width="14.59765625" bestFit="1" customWidth="1"/>
  </cols>
  <sheetData>
    <row r="3" spans="1:3" x14ac:dyDescent="0.25">
      <c r="A3" s="4" t="s">
        <v>61</v>
      </c>
      <c r="B3" t="s">
        <v>64</v>
      </c>
    </row>
    <row r="4" spans="1:3" x14ac:dyDescent="0.25">
      <c r="A4" s="5" t="s">
        <v>11</v>
      </c>
      <c r="B4" s="8">
        <v>103789</v>
      </c>
    </row>
    <row r="5" spans="1:3" x14ac:dyDescent="0.25">
      <c r="A5" s="5" t="s">
        <v>7</v>
      </c>
      <c r="B5" s="8">
        <v>400000</v>
      </c>
      <c r="C5">
        <f>GETPIVOTDATA("Amount",$A$3,"Fund Class","Income")-GETPIVOTDATA("Amount",$A$3,"Fund Class","Expenses")</f>
        <v>296211</v>
      </c>
    </row>
    <row r="6" spans="1:3" x14ac:dyDescent="0.25">
      <c r="A6" s="5" t="s">
        <v>62</v>
      </c>
      <c r="B6" s="8">
        <v>503789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J1001"/>
  <sheetViews>
    <sheetView topLeftCell="A7" workbookViewId="0">
      <selection activeCell="C8" sqref="C8"/>
    </sheetView>
  </sheetViews>
  <sheetFormatPr defaultColWidth="12.59765625" defaultRowHeight="15" customHeight="1" x14ac:dyDescent="0.25"/>
  <cols>
    <col min="2" max="2" width="10.3984375" customWidth="1"/>
    <col min="3" max="3" width="29.59765625" customWidth="1"/>
    <col min="4" max="4" width="19.69921875" customWidth="1"/>
    <col min="5" max="5" width="11.8984375" customWidth="1"/>
    <col min="6" max="6" width="17.59765625" customWidth="1"/>
    <col min="7" max="7" width="9.69921875" customWidth="1"/>
    <col min="8" max="9" width="14.3984375" customWidth="1"/>
    <col min="10" max="10" width="29.59765625" bestFit="1" customWidth="1"/>
    <col min="11" max="27" width="14.3984375" customWidth="1"/>
  </cols>
  <sheetData>
    <row r="2" spans="2:10" ht="14.25" customHeight="1" x14ac:dyDescent="0.3">
      <c r="B2" s="1" t="s">
        <v>0</v>
      </c>
      <c r="C2" s="1" t="s">
        <v>1</v>
      </c>
      <c r="D2" s="1" t="s">
        <v>2</v>
      </c>
      <c r="E2" s="1" t="s">
        <v>3</v>
      </c>
      <c r="F2" s="1" t="s">
        <v>4</v>
      </c>
      <c r="G2" s="1" t="s">
        <v>5</v>
      </c>
      <c r="H2" s="1" t="s">
        <v>55</v>
      </c>
      <c r="J2" s="3" t="s">
        <v>56</v>
      </c>
    </row>
    <row r="3" spans="2:10" ht="14.25" customHeight="1" x14ac:dyDescent="0.3">
      <c r="B3" s="2">
        <v>44835</v>
      </c>
      <c r="C3" s="1" t="s">
        <v>6</v>
      </c>
      <c r="D3" s="1" t="s">
        <v>7</v>
      </c>
      <c r="E3" s="1" t="s">
        <v>7</v>
      </c>
      <c r="F3" s="1" t="s">
        <v>8</v>
      </c>
      <c r="G3" s="1">
        <v>400000</v>
      </c>
      <c r="H3">
        <f>G3</f>
        <v>400000</v>
      </c>
      <c r="J3" s="3" t="s">
        <v>60</v>
      </c>
    </row>
    <row r="4" spans="2:10" ht="14.25" customHeight="1" x14ac:dyDescent="0.3">
      <c r="B4" s="2">
        <v>44835</v>
      </c>
      <c r="C4" s="1" t="s">
        <v>9</v>
      </c>
      <c r="D4" s="1" t="s">
        <v>10</v>
      </c>
      <c r="E4" s="1" t="s">
        <v>11</v>
      </c>
      <c r="F4" s="1" t="s">
        <v>8</v>
      </c>
      <c r="G4" s="1">
        <v>7092</v>
      </c>
      <c r="H4">
        <f>IF(E4="Expenses",H3-G4,H3+G4)</f>
        <v>392908</v>
      </c>
      <c r="J4" s="3" t="s">
        <v>57</v>
      </c>
    </row>
    <row r="5" spans="2:10" ht="14.25" customHeight="1" x14ac:dyDescent="0.3">
      <c r="B5" s="2">
        <v>44836</v>
      </c>
      <c r="C5" s="1" t="s">
        <v>12</v>
      </c>
      <c r="D5" s="1" t="s">
        <v>13</v>
      </c>
      <c r="E5" s="1" t="s">
        <v>11</v>
      </c>
      <c r="F5" s="1" t="s">
        <v>14</v>
      </c>
      <c r="G5" s="1">
        <v>5403</v>
      </c>
      <c r="H5">
        <f t="shared" ref="H5:H68" si="0">IF(E5="Expenses",H4-G5,H4+G5)</f>
        <v>387505</v>
      </c>
      <c r="J5" s="3" t="s">
        <v>58</v>
      </c>
    </row>
    <row r="6" spans="2:10" ht="14.25" customHeight="1" x14ac:dyDescent="0.3">
      <c r="B6" s="2">
        <v>44837</v>
      </c>
      <c r="C6" s="1" t="s">
        <v>15</v>
      </c>
      <c r="D6" s="1" t="s">
        <v>16</v>
      </c>
      <c r="E6" s="1" t="s">
        <v>11</v>
      </c>
      <c r="F6" s="1" t="s">
        <v>14</v>
      </c>
      <c r="G6" s="1">
        <v>60000</v>
      </c>
      <c r="H6">
        <f t="shared" si="0"/>
        <v>327505</v>
      </c>
      <c r="J6" s="3" t="s">
        <v>59</v>
      </c>
    </row>
    <row r="7" spans="2:10" ht="14.25" customHeight="1" x14ac:dyDescent="0.3">
      <c r="B7" s="2">
        <v>44842</v>
      </c>
      <c r="C7" s="1" t="s">
        <v>17</v>
      </c>
      <c r="D7" s="1" t="s">
        <v>13</v>
      </c>
      <c r="E7" s="1" t="s">
        <v>11</v>
      </c>
      <c r="F7" s="1" t="s">
        <v>8</v>
      </c>
      <c r="G7" s="1">
        <v>8844</v>
      </c>
      <c r="H7">
        <f t="shared" si="0"/>
        <v>318661</v>
      </c>
    </row>
    <row r="8" spans="2:10" ht="14.25" customHeight="1" x14ac:dyDescent="0.3">
      <c r="B8" s="2">
        <v>44843</v>
      </c>
      <c r="C8" s="1" t="s">
        <v>18</v>
      </c>
      <c r="D8" s="1" t="s">
        <v>13</v>
      </c>
      <c r="E8" s="1" t="s">
        <v>11</v>
      </c>
      <c r="F8" s="1" t="s">
        <v>8</v>
      </c>
      <c r="G8" s="1">
        <v>7752</v>
      </c>
      <c r="H8">
        <f t="shared" si="0"/>
        <v>310909</v>
      </c>
    </row>
    <row r="9" spans="2:10" ht="14.25" customHeight="1" x14ac:dyDescent="0.3">
      <c r="B9" s="2">
        <v>44843</v>
      </c>
      <c r="C9" s="1" t="s">
        <v>19</v>
      </c>
      <c r="D9" s="1" t="s">
        <v>16</v>
      </c>
      <c r="E9" s="1" t="s">
        <v>11</v>
      </c>
      <c r="F9" s="1" t="s">
        <v>8</v>
      </c>
      <c r="G9" s="1">
        <v>6621</v>
      </c>
      <c r="H9">
        <f t="shared" si="0"/>
        <v>304288</v>
      </c>
    </row>
    <row r="10" spans="2:10" ht="14.25" customHeight="1" x14ac:dyDescent="0.3">
      <c r="B10" s="2">
        <v>44844</v>
      </c>
      <c r="C10" s="1" t="s">
        <v>20</v>
      </c>
      <c r="D10" s="1" t="s">
        <v>10</v>
      </c>
      <c r="E10" s="1" t="s">
        <v>11</v>
      </c>
      <c r="F10" s="1" t="s">
        <v>14</v>
      </c>
      <c r="G10" s="1">
        <v>5347</v>
      </c>
      <c r="H10">
        <f t="shared" si="0"/>
        <v>298941</v>
      </c>
    </row>
    <row r="11" spans="2:10" ht="14.25" customHeight="1" x14ac:dyDescent="0.3">
      <c r="B11" s="2">
        <v>44845</v>
      </c>
      <c r="C11" s="1" t="s">
        <v>21</v>
      </c>
      <c r="D11" s="1" t="s">
        <v>13</v>
      </c>
      <c r="E11" s="1" t="s">
        <v>11</v>
      </c>
      <c r="F11" s="1" t="s">
        <v>14</v>
      </c>
      <c r="G11" s="1">
        <v>5366</v>
      </c>
      <c r="H11">
        <f t="shared" si="0"/>
        <v>293575</v>
      </c>
    </row>
    <row r="12" spans="2:10" ht="14.25" customHeight="1" x14ac:dyDescent="0.3">
      <c r="B12" s="2">
        <v>44850</v>
      </c>
      <c r="C12" s="1" t="s">
        <v>22</v>
      </c>
      <c r="D12" s="1" t="s">
        <v>23</v>
      </c>
      <c r="E12" s="1" t="s">
        <v>11</v>
      </c>
      <c r="F12" s="1" t="s">
        <v>8</v>
      </c>
      <c r="G12" s="1">
        <v>7449</v>
      </c>
      <c r="H12">
        <f t="shared" si="0"/>
        <v>286126</v>
      </c>
    </row>
    <row r="13" spans="2:10" ht="14.25" customHeight="1" x14ac:dyDescent="0.3">
      <c r="B13" s="2">
        <v>44853</v>
      </c>
      <c r="C13" s="1" t="s">
        <v>24</v>
      </c>
      <c r="D13" s="1" t="s">
        <v>16</v>
      </c>
      <c r="E13" s="1" t="s">
        <v>11</v>
      </c>
      <c r="F13" s="1" t="s">
        <v>14</v>
      </c>
      <c r="G13" s="1">
        <v>9800</v>
      </c>
      <c r="H13">
        <f t="shared" si="0"/>
        <v>276326</v>
      </c>
    </row>
    <row r="14" spans="2:10" ht="14.25" customHeight="1" x14ac:dyDescent="0.3">
      <c r="B14" s="2">
        <v>44853</v>
      </c>
      <c r="C14" s="1" t="s">
        <v>25</v>
      </c>
      <c r="D14" s="1" t="s">
        <v>13</v>
      </c>
      <c r="E14" s="1" t="s">
        <v>11</v>
      </c>
      <c r="F14" s="1" t="s">
        <v>14</v>
      </c>
      <c r="G14" s="1">
        <v>8492</v>
      </c>
      <c r="H14">
        <f t="shared" si="0"/>
        <v>267834</v>
      </c>
    </row>
    <row r="15" spans="2:10" ht="14.25" customHeight="1" x14ac:dyDescent="0.3">
      <c r="B15" s="2">
        <v>44854</v>
      </c>
      <c r="C15" s="1" t="s">
        <v>26</v>
      </c>
      <c r="D15" s="1" t="s">
        <v>10</v>
      </c>
      <c r="E15" s="1" t="s">
        <v>11</v>
      </c>
      <c r="F15" s="1" t="s">
        <v>8</v>
      </c>
      <c r="G15" s="1">
        <v>4300</v>
      </c>
      <c r="H15">
        <f t="shared" si="0"/>
        <v>263534</v>
      </c>
    </row>
    <row r="16" spans="2:10" ht="14.25" customHeight="1" x14ac:dyDescent="0.3">
      <c r="B16" s="2">
        <v>44858</v>
      </c>
      <c r="C16" s="1" t="s">
        <v>27</v>
      </c>
      <c r="D16" s="1" t="s">
        <v>13</v>
      </c>
      <c r="E16" s="1" t="s">
        <v>11</v>
      </c>
      <c r="F16" s="1" t="s">
        <v>14</v>
      </c>
      <c r="G16" s="1">
        <v>8647</v>
      </c>
      <c r="H16">
        <f t="shared" si="0"/>
        <v>254887</v>
      </c>
    </row>
    <row r="17" spans="2:8" ht="14.25" customHeight="1" x14ac:dyDescent="0.3">
      <c r="B17" s="2">
        <v>44858</v>
      </c>
      <c r="C17" s="1" t="s">
        <v>22</v>
      </c>
      <c r="D17" s="1" t="s">
        <v>23</v>
      </c>
      <c r="E17" s="1" t="s">
        <v>11</v>
      </c>
      <c r="F17" s="1" t="s">
        <v>14</v>
      </c>
      <c r="G17" s="1">
        <v>6714</v>
      </c>
      <c r="H17">
        <f t="shared" si="0"/>
        <v>248173</v>
      </c>
    </row>
    <row r="18" spans="2:8" ht="14.25" customHeight="1" x14ac:dyDescent="0.3">
      <c r="B18" s="2">
        <v>44858</v>
      </c>
      <c r="C18" s="1" t="s">
        <v>28</v>
      </c>
      <c r="D18" s="1" t="s">
        <v>10</v>
      </c>
      <c r="E18" s="1" t="s">
        <v>11</v>
      </c>
      <c r="F18" s="1" t="s">
        <v>8</v>
      </c>
      <c r="G18" s="1">
        <v>5079</v>
      </c>
      <c r="H18">
        <f t="shared" si="0"/>
        <v>243094</v>
      </c>
    </row>
    <row r="19" spans="2:8" ht="14.25" customHeight="1" x14ac:dyDescent="0.3">
      <c r="B19" s="2">
        <v>44859</v>
      </c>
      <c r="C19" s="1" t="s">
        <v>29</v>
      </c>
      <c r="D19" s="1" t="s">
        <v>30</v>
      </c>
      <c r="E19" s="1" t="s">
        <v>11</v>
      </c>
      <c r="F19" s="1" t="s">
        <v>14</v>
      </c>
      <c r="G19" s="1">
        <v>17600</v>
      </c>
      <c r="H19">
        <f t="shared" si="0"/>
        <v>225494</v>
      </c>
    </row>
    <row r="20" spans="2:8" ht="14.25" customHeight="1" x14ac:dyDescent="0.3">
      <c r="B20" s="2">
        <v>44859</v>
      </c>
      <c r="C20" s="1" t="s">
        <v>31</v>
      </c>
      <c r="D20" s="1" t="s">
        <v>23</v>
      </c>
      <c r="E20" s="1" t="s">
        <v>11</v>
      </c>
      <c r="F20" s="1" t="s">
        <v>14</v>
      </c>
      <c r="G20" s="1">
        <v>50000</v>
      </c>
      <c r="H20">
        <f t="shared" si="0"/>
        <v>175494</v>
      </c>
    </row>
    <row r="21" spans="2:8" ht="14.25" customHeight="1" x14ac:dyDescent="0.3">
      <c r="B21" s="2">
        <v>44860</v>
      </c>
      <c r="C21" s="1" t="s">
        <v>32</v>
      </c>
      <c r="D21" s="1" t="s">
        <v>23</v>
      </c>
      <c r="E21" s="1" t="s">
        <v>11</v>
      </c>
      <c r="F21" s="1" t="s">
        <v>8</v>
      </c>
      <c r="G21" s="1">
        <v>10000</v>
      </c>
      <c r="H21">
        <f t="shared" si="0"/>
        <v>165494</v>
      </c>
    </row>
    <row r="22" spans="2:8" ht="14.25" customHeight="1" x14ac:dyDescent="0.3">
      <c r="B22" s="2">
        <v>44860</v>
      </c>
      <c r="C22" s="1" t="s">
        <v>33</v>
      </c>
      <c r="D22" s="1" t="s">
        <v>13</v>
      </c>
      <c r="E22" s="1" t="s">
        <v>11</v>
      </c>
      <c r="F22" s="1" t="s">
        <v>14</v>
      </c>
      <c r="G22" s="1">
        <v>8963</v>
      </c>
      <c r="H22">
        <f t="shared" si="0"/>
        <v>156531</v>
      </c>
    </row>
    <row r="23" spans="2:8" ht="14.25" customHeight="1" x14ac:dyDescent="0.3">
      <c r="B23" s="2">
        <v>44861</v>
      </c>
      <c r="C23" s="1" t="s">
        <v>34</v>
      </c>
      <c r="D23" s="1" t="s">
        <v>10</v>
      </c>
      <c r="E23" s="1" t="s">
        <v>11</v>
      </c>
      <c r="F23" s="1" t="s">
        <v>8</v>
      </c>
      <c r="G23" s="1">
        <v>6509</v>
      </c>
      <c r="H23">
        <f t="shared" si="0"/>
        <v>150022</v>
      </c>
    </row>
    <row r="24" spans="2:8" ht="14.25" customHeight="1" x14ac:dyDescent="0.3">
      <c r="B24" s="2">
        <v>44862</v>
      </c>
      <c r="C24" s="1" t="s">
        <v>35</v>
      </c>
      <c r="D24" s="1" t="s">
        <v>13</v>
      </c>
      <c r="E24" s="1" t="s">
        <v>11</v>
      </c>
      <c r="F24" s="1" t="s">
        <v>8</v>
      </c>
      <c r="G24" s="1">
        <v>6641</v>
      </c>
      <c r="H24">
        <f t="shared" si="0"/>
        <v>143381</v>
      </c>
    </row>
    <row r="25" spans="2:8" ht="14.25" customHeight="1" x14ac:dyDescent="0.3">
      <c r="B25" s="2">
        <v>44864</v>
      </c>
      <c r="C25" s="1" t="s">
        <v>36</v>
      </c>
      <c r="D25" s="1" t="s">
        <v>16</v>
      </c>
      <c r="E25" s="1" t="s">
        <v>11</v>
      </c>
      <c r="F25" s="1" t="s">
        <v>8</v>
      </c>
      <c r="G25" s="1">
        <v>1940</v>
      </c>
      <c r="H25">
        <f t="shared" si="0"/>
        <v>141441</v>
      </c>
    </row>
    <row r="26" spans="2:8" ht="14.25" customHeight="1" x14ac:dyDescent="0.3">
      <c r="B26" s="2">
        <v>44866</v>
      </c>
      <c r="C26" s="1" t="s">
        <v>6</v>
      </c>
      <c r="D26" s="1" t="s">
        <v>7</v>
      </c>
      <c r="E26" s="1" t="s">
        <v>7</v>
      </c>
      <c r="F26" s="1" t="s">
        <v>8</v>
      </c>
      <c r="G26" s="1">
        <v>400000</v>
      </c>
      <c r="H26">
        <f t="shared" si="0"/>
        <v>541441</v>
      </c>
    </row>
    <row r="27" spans="2:8" ht="14.25" customHeight="1" x14ac:dyDescent="0.3">
      <c r="B27" s="2">
        <v>44869</v>
      </c>
      <c r="C27" s="1" t="s">
        <v>21</v>
      </c>
      <c r="D27" s="1" t="s">
        <v>13</v>
      </c>
      <c r="E27" s="1" t="s">
        <v>11</v>
      </c>
      <c r="F27" s="1" t="s">
        <v>14</v>
      </c>
      <c r="G27" s="1">
        <v>5950</v>
      </c>
      <c r="H27">
        <f t="shared" si="0"/>
        <v>535491</v>
      </c>
    </row>
    <row r="28" spans="2:8" ht="14.25" customHeight="1" x14ac:dyDescent="0.3">
      <c r="B28" s="2">
        <v>44872</v>
      </c>
      <c r="C28" s="1" t="s">
        <v>37</v>
      </c>
      <c r="D28" s="1" t="s">
        <v>13</v>
      </c>
      <c r="E28" s="1" t="s">
        <v>11</v>
      </c>
      <c r="F28" s="1" t="s">
        <v>14</v>
      </c>
      <c r="G28" s="1">
        <v>7957</v>
      </c>
      <c r="H28">
        <f t="shared" si="0"/>
        <v>527534</v>
      </c>
    </row>
    <row r="29" spans="2:8" ht="14.25" customHeight="1" x14ac:dyDescent="0.3">
      <c r="B29" s="2">
        <v>44874</v>
      </c>
      <c r="C29" s="1" t="s">
        <v>35</v>
      </c>
      <c r="D29" s="1" t="s">
        <v>13</v>
      </c>
      <c r="E29" s="1" t="s">
        <v>11</v>
      </c>
      <c r="F29" s="1" t="s">
        <v>14</v>
      </c>
      <c r="G29" s="1">
        <v>8782</v>
      </c>
      <c r="H29">
        <f t="shared" si="0"/>
        <v>518752</v>
      </c>
    </row>
    <row r="30" spans="2:8" ht="14.25" customHeight="1" x14ac:dyDescent="0.3">
      <c r="B30" s="2">
        <v>44875</v>
      </c>
      <c r="C30" s="1" t="s">
        <v>38</v>
      </c>
      <c r="D30" s="1" t="s">
        <v>23</v>
      </c>
      <c r="E30" s="1" t="s">
        <v>11</v>
      </c>
      <c r="F30" s="1" t="s">
        <v>14</v>
      </c>
      <c r="G30" s="1">
        <v>9642</v>
      </c>
      <c r="H30">
        <f t="shared" si="0"/>
        <v>509110</v>
      </c>
    </row>
    <row r="31" spans="2:8" ht="14.25" customHeight="1" x14ac:dyDescent="0.3">
      <c r="B31" s="2">
        <v>44876</v>
      </c>
      <c r="C31" s="1" t="s">
        <v>35</v>
      </c>
      <c r="D31" s="1" t="s">
        <v>13</v>
      </c>
      <c r="E31" s="1" t="s">
        <v>11</v>
      </c>
      <c r="F31" s="1" t="s">
        <v>14</v>
      </c>
      <c r="G31" s="1">
        <v>12109</v>
      </c>
      <c r="H31">
        <f t="shared" si="0"/>
        <v>497001</v>
      </c>
    </row>
    <row r="32" spans="2:8" ht="14.25" customHeight="1" x14ac:dyDescent="0.3">
      <c r="B32" s="2">
        <v>44878</v>
      </c>
      <c r="C32" s="1" t="s">
        <v>39</v>
      </c>
      <c r="D32" s="1" t="s">
        <v>10</v>
      </c>
      <c r="E32" s="1" t="s">
        <v>11</v>
      </c>
      <c r="F32" s="1" t="s">
        <v>8</v>
      </c>
      <c r="G32" s="1">
        <v>7149</v>
      </c>
      <c r="H32">
        <f t="shared" si="0"/>
        <v>489852</v>
      </c>
    </row>
    <row r="33" spans="2:8" ht="14.25" customHeight="1" x14ac:dyDescent="0.3">
      <c r="B33" s="2">
        <v>44878</v>
      </c>
      <c r="C33" s="1" t="s">
        <v>22</v>
      </c>
      <c r="D33" s="1" t="s">
        <v>23</v>
      </c>
      <c r="E33" s="1" t="s">
        <v>11</v>
      </c>
      <c r="F33" s="1" t="s">
        <v>8</v>
      </c>
      <c r="G33" s="1">
        <v>6392</v>
      </c>
      <c r="H33">
        <f t="shared" si="0"/>
        <v>483460</v>
      </c>
    </row>
    <row r="34" spans="2:8" ht="14.25" customHeight="1" x14ac:dyDescent="0.3">
      <c r="B34" s="2">
        <v>44881</v>
      </c>
      <c r="C34" s="1" t="s">
        <v>22</v>
      </c>
      <c r="D34" s="1" t="s">
        <v>23</v>
      </c>
      <c r="E34" s="1" t="s">
        <v>11</v>
      </c>
      <c r="F34" s="1" t="s">
        <v>14</v>
      </c>
      <c r="G34" s="1">
        <v>5014</v>
      </c>
      <c r="H34">
        <f t="shared" si="0"/>
        <v>478446</v>
      </c>
    </row>
    <row r="35" spans="2:8" ht="14.25" customHeight="1" x14ac:dyDescent="0.3">
      <c r="B35" s="2">
        <v>44882</v>
      </c>
      <c r="C35" s="1" t="s">
        <v>35</v>
      </c>
      <c r="D35" s="1" t="s">
        <v>13</v>
      </c>
      <c r="E35" s="1" t="s">
        <v>11</v>
      </c>
      <c r="F35" s="1" t="s">
        <v>8</v>
      </c>
      <c r="G35" s="1">
        <v>8691</v>
      </c>
      <c r="H35">
        <f t="shared" si="0"/>
        <v>469755</v>
      </c>
    </row>
    <row r="36" spans="2:8" ht="14.25" customHeight="1" x14ac:dyDescent="0.3">
      <c r="B36" s="2">
        <v>44882</v>
      </c>
      <c r="C36" s="1" t="s">
        <v>40</v>
      </c>
      <c r="D36" s="1" t="s">
        <v>16</v>
      </c>
      <c r="E36" s="1" t="s">
        <v>11</v>
      </c>
      <c r="F36" s="1" t="s">
        <v>14</v>
      </c>
      <c r="G36" s="1">
        <v>6026</v>
      </c>
      <c r="H36">
        <f t="shared" si="0"/>
        <v>463729</v>
      </c>
    </row>
    <row r="37" spans="2:8" ht="14.25" customHeight="1" x14ac:dyDescent="0.3">
      <c r="B37" s="2">
        <v>44884</v>
      </c>
      <c r="C37" s="1" t="s">
        <v>24</v>
      </c>
      <c r="D37" s="1" t="s">
        <v>16</v>
      </c>
      <c r="E37" s="1" t="s">
        <v>11</v>
      </c>
      <c r="F37" s="1" t="s">
        <v>8</v>
      </c>
      <c r="G37" s="1">
        <v>9800</v>
      </c>
      <c r="H37">
        <f t="shared" si="0"/>
        <v>453929</v>
      </c>
    </row>
    <row r="38" spans="2:8" ht="14.25" customHeight="1" x14ac:dyDescent="0.3">
      <c r="B38" s="2">
        <v>44885</v>
      </c>
      <c r="C38" s="1" t="s">
        <v>35</v>
      </c>
      <c r="D38" s="1" t="s">
        <v>13</v>
      </c>
      <c r="E38" s="1" t="s">
        <v>11</v>
      </c>
      <c r="F38" s="1" t="s">
        <v>14</v>
      </c>
      <c r="G38" s="1">
        <v>10854</v>
      </c>
      <c r="H38">
        <f t="shared" si="0"/>
        <v>443075</v>
      </c>
    </row>
    <row r="39" spans="2:8" ht="14.25" customHeight="1" x14ac:dyDescent="0.3">
      <c r="B39" s="2">
        <v>44885</v>
      </c>
      <c r="C39" s="1" t="s">
        <v>21</v>
      </c>
      <c r="D39" s="1" t="s">
        <v>13</v>
      </c>
      <c r="E39" s="1" t="s">
        <v>11</v>
      </c>
      <c r="F39" s="1" t="s">
        <v>8</v>
      </c>
      <c r="G39" s="1">
        <v>12734</v>
      </c>
      <c r="H39">
        <f t="shared" si="0"/>
        <v>430341</v>
      </c>
    </row>
    <row r="40" spans="2:8" ht="14.25" customHeight="1" x14ac:dyDescent="0.3">
      <c r="B40" s="2">
        <v>44885</v>
      </c>
      <c r="C40" s="1" t="s">
        <v>35</v>
      </c>
      <c r="D40" s="1" t="s">
        <v>13</v>
      </c>
      <c r="E40" s="1" t="s">
        <v>11</v>
      </c>
      <c r="F40" s="1" t="s">
        <v>8</v>
      </c>
      <c r="G40" s="1">
        <v>10900</v>
      </c>
      <c r="H40">
        <f t="shared" si="0"/>
        <v>419441</v>
      </c>
    </row>
    <row r="41" spans="2:8" ht="14.25" customHeight="1" x14ac:dyDescent="0.3">
      <c r="B41" s="2">
        <v>44888</v>
      </c>
      <c r="C41" s="1" t="s">
        <v>21</v>
      </c>
      <c r="D41" s="1" t="s">
        <v>13</v>
      </c>
      <c r="E41" s="1" t="s">
        <v>11</v>
      </c>
      <c r="F41" s="1" t="s">
        <v>8</v>
      </c>
      <c r="G41" s="1">
        <v>8713</v>
      </c>
      <c r="H41">
        <f t="shared" si="0"/>
        <v>410728</v>
      </c>
    </row>
    <row r="42" spans="2:8" ht="14.25" customHeight="1" x14ac:dyDescent="0.3">
      <c r="B42" s="2">
        <v>44889</v>
      </c>
      <c r="C42" s="1" t="s">
        <v>26</v>
      </c>
      <c r="D42" s="1" t="s">
        <v>10</v>
      </c>
      <c r="E42" s="1" t="s">
        <v>11</v>
      </c>
      <c r="F42" s="1" t="s">
        <v>8</v>
      </c>
      <c r="G42" s="1">
        <v>4300</v>
      </c>
      <c r="H42">
        <f t="shared" si="0"/>
        <v>406428</v>
      </c>
    </row>
    <row r="43" spans="2:8" ht="14.25" customHeight="1" x14ac:dyDescent="0.3">
      <c r="B43" s="2">
        <v>44890</v>
      </c>
      <c r="C43" s="1" t="s">
        <v>31</v>
      </c>
      <c r="D43" s="1" t="s">
        <v>23</v>
      </c>
      <c r="E43" s="1" t="s">
        <v>11</v>
      </c>
      <c r="F43" s="1" t="s">
        <v>8</v>
      </c>
      <c r="G43" s="1">
        <v>50000</v>
      </c>
      <c r="H43">
        <f t="shared" si="0"/>
        <v>356428</v>
      </c>
    </row>
    <row r="44" spans="2:8" ht="14.25" customHeight="1" x14ac:dyDescent="0.3">
      <c r="B44" s="2">
        <v>44891</v>
      </c>
      <c r="C44" s="1" t="s">
        <v>32</v>
      </c>
      <c r="D44" s="1" t="s">
        <v>23</v>
      </c>
      <c r="E44" s="1" t="s">
        <v>11</v>
      </c>
      <c r="F44" s="1" t="s">
        <v>14</v>
      </c>
      <c r="G44" s="1">
        <v>10000</v>
      </c>
      <c r="H44">
        <f t="shared" si="0"/>
        <v>346428</v>
      </c>
    </row>
    <row r="45" spans="2:8" ht="14.25" customHeight="1" x14ac:dyDescent="0.3">
      <c r="B45" s="2">
        <v>44892</v>
      </c>
      <c r="C45" s="1" t="s">
        <v>41</v>
      </c>
      <c r="D45" s="1" t="s">
        <v>30</v>
      </c>
      <c r="E45" s="1" t="s">
        <v>11</v>
      </c>
      <c r="F45" s="1" t="s">
        <v>14</v>
      </c>
      <c r="G45" s="1">
        <v>14300</v>
      </c>
      <c r="H45">
        <f t="shared" si="0"/>
        <v>332128</v>
      </c>
    </row>
    <row r="46" spans="2:8" ht="14.25" customHeight="1" x14ac:dyDescent="0.3">
      <c r="B46" s="2">
        <v>44892</v>
      </c>
      <c r="C46" s="1" t="s">
        <v>42</v>
      </c>
      <c r="D46" s="1" t="s">
        <v>16</v>
      </c>
      <c r="E46" s="1" t="s">
        <v>11</v>
      </c>
      <c r="F46" s="1" t="s">
        <v>8</v>
      </c>
      <c r="G46" s="1">
        <v>11845</v>
      </c>
      <c r="H46">
        <f t="shared" si="0"/>
        <v>320283</v>
      </c>
    </row>
    <row r="47" spans="2:8" ht="14.25" customHeight="1" x14ac:dyDescent="0.3">
      <c r="B47" s="2">
        <v>44893</v>
      </c>
      <c r="C47" s="1" t="s">
        <v>17</v>
      </c>
      <c r="D47" s="1" t="s">
        <v>13</v>
      </c>
      <c r="E47" s="1" t="s">
        <v>11</v>
      </c>
      <c r="F47" s="1" t="s">
        <v>14</v>
      </c>
      <c r="G47" s="1">
        <v>8349</v>
      </c>
      <c r="H47">
        <f t="shared" si="0"/>
        <v>311934</v>
      </c>
    </row>
    <row r="48" spans="2:8" ht="14.25" customHeight="1" x14ac:dyDescent="0.3">
      <c r="B48" s="2">
        <v>44895</v>
      </c>
      <c r="C48" s="1" t="s">
        <v>43</v>
      </c>
      <c r="D48" s="1" t="s">
        <v>16</v>
      </c>
      <c r="E48" s="1" t="s">
        <v>11</v>
      </c>
      <c r="F48" s="1" t="s">
        <v>8</v>
      </c>
      <c r="G48" s="1">
        <v>18000</v>
      </c>
      <c r="H48">
        <f t="shared" si="0"/>
        <v>293934</v>
      </c>
    </row>
    <row r="49" spans="2:8" ht="14.25" customHeight="1" x14ac:dyDescent="0.3">
      <c r="B49" s="2">
        <v>44895</v>
      </c>
      <c r="C49" s="1" t="s">
        <v>44</v>
      </c>
      <c r="D49" s="1" t="s">
        <v>13</v>
      </c>
      <c r="E49" s="1" t="s">
        <v>11</v>
      </c>
      <c r="F49" s="1" t="s">
        <v>8</v>
      </c>
      <c r="G49" s="1">
        <v>11657</v>
      </c>
      <c r="H49">
        <f t="shared" si="0"/>
        <v>282277</v>
      </c>
    </row>
    <row r="50" spans="2:8" ht="14.25" customHeight="1" x14ac:dyDescent="0.3">
      <c r="B50" s="2">
        <v>44895</v>
      </c>
      <c r="C50" s="1" t="s">
        <v>36</v>
      </c>
      <c r="D50" s="1" t="s">
        <v>16</v>
      </c>
      <c r="E50" s="1" t="s">
        <v>11</v>
      </c>
      <c r="F50" s="1" t="s">
        <v>14</v>
      </c>
      <c r="G50" s="1">
        <v>1940</v>
      </c>
      <c r="H50">
        <f t="shared" si="0"/>
        <v>280337</v>
      </c>
    </row>
    <row r="51" spans="2:8" ht="14.25" customHeight="1" x14ac:dyDescent="0.3">
      <c r="B51" s="2">
        <v>44896</v>
      </c>
      <c r="C51" s="1" t="s">
        <v>6</v>
      </c>
      <c r="D51" s="1" t="s">
        <v>7</v>
      </c>
      <c r="E51" s="1" t="s">
        <v>7</v>
      </c>
      <c r="F51" s="1" t="s">
        <v>8</v>
      </c>
      <c r="G51" s="1">
        <v>400000</v>
      </c>
      <c r="H51">
        <f t="shared" si="0"/>
        <v>680337</v>
      </c>
    </row>
    <row r="52" spans="2:8" ht="14.25" customHeight="1" x14ac:dyDescent="0.3">
      <c r="B52" s="2">
        <v>44896</v>
      </c>
      <c r="C52" s="1" t="s">
        <v>45</v>
      </c>
      <c r="D52" s="1" t="s">
        <v>7</v>
      </c>
      <c r="E52" s="1" t="s">
        <v>7</v>
      </c>
      <c r="F52" s="1" t="s">
        <v>8</v>
      </c>
      <c r="G52" s="1">
        <v>150000</v>
      </c>
      <c r="H52">
        <f t="shared" si="0"/>
        <v>830337</v>
      </c>
    </row>
    <row r="53" spans="2:8" ht="14.25" customHeight="1" x14ac:dyDescent="0.3">
      <c r="B53" s="2">
        <v>44897</v>
      </c>
      <c r="C53" s="1" t="s">
        <v>46</v>
      </c>
      <c r="D53" s="1" t="s">
        <v>7</v>
      </c>
      <c r="E53" s="1" t="s">
        <v>7</v>
      </c>
      <c r="F53" s="1" t="s">
        <v>8</v>
      </c>
      <c r="G53" s="1">
        <v>95900</v>
      </c>
      <c r="H53">
        <f t="shared" si="0"/>
        <v>926237</v>
      </c>
    </row>
    <row r="54" spans="2:8" ht="14.25" customHeight="1" x14ac:dyDescent="0.3">
      <c r="B54" s="2">
        <v>44905</v>
      </c>
      <c r="C54" s="1" t="s">
        <v>47</v>
      </c>
      <c r="D54" s="1" t="s">
        <v>10</v>
      </c>
      <c r="E54" s="1" t="s">
        <v>11</v>
      </c>
      <c r="F54" s="1" t="s">
        <v>14</v>
      </c>
      <c r="G54" s="1">
        <v>10000</v>
      </c>
      <c r="H54">
        <f t="shared" si="0"/>
        <v>916237</v>
      </c>
    </row>
    <row r="55" spans="2:8" ht="14.25" customHeight="1" x14ac:dyDescent="0.3">
      <c r="B55" s="2">
        <v>44907</v>
      </c>
      <c r="C55" s="1" t="s">
        <v>48</v>
      </c>
      <c r="D55" s="1" t="s">
        <v>10</v>
      </c>
      <c r="E55" s="1" t="s">
        <v>11</v>
      </c>
      <c r="F55" s="1" t="s">
        <v>8</v>
      </c>
      <c r="G55" s="1">
        <v>5500</v>
      </c>
      <c r="H55">
        <f t="shared" si="0"/>
        <v>910737</v>
      </c>
    </row>
    <row r="56" spans="2:8" ht="14.25" customHeight="1" x14ac:dyDescent="0.3">
      <c r="B56" s="2">
        <v>44907</v>
      </c>
      <c r="C56" s="1" t="s">
        <v>49</v>
      </c>
      <c r="D56" s="1" t="s">
        <v>10</v>
      </c>
      <c r="E56" s="1" t="s">
        <v>11</v>
      </c>
      <c r="F56" s="1" t="s">
        <v>8</v>
      </c>
      <c r="G56" s="1">
        <v>15000</v>
      </c>
      <c r="H56">
        <f t="shared" si="0"/>
        <v>895737</v>
      </c>
    </row>
    <row r="57" spans="2:8" ht="14.25" customHeight="1" x14ac:dyDescent="0.3">
      <c r="B57" s="2">
        <v>44908</v>
      </c>
      <c r="C57" s="1" t="s">
        <v>50</v>
      </c>
      <c r="D57" s="1" t="s">
        <v>23</v>
      </c>
      <c r="E57" s="1" t="s">
        <v>11</v>
      </c>
      <c r="F57" s="1" t="s">
        <v>8</v>
      </c>
      <c r="G57" s="1">
        <v>32300</v>
      </c>
      <c r="H57">
        <f t="shared" si="0"/>
        <v>863437</v>
      </c>
    </row>
    <row r="58" spans="2:8" ht="14.25" customHeight="1" x14ac:dyDescent="0.3">
      <c r="B58" s="2">
        <v>44909</v>
      </c>
      <c r="C58" s="1" t="s">
        <v>51</v>
      </c>
      <c r="D58" s="1" t="s">
        <v>10</v>
      </c>
      <c r="E58" s="1" t="s">
        <v>11</v>
      </c>
      <c r="F58" s="1" t="s">
        <v>14</v>
      </c>
      <c r="G58" s="1">
        <v>35900</v>
      </c>
      <c r="H58">
        <f t="shared" si="0"/>
        <v>827537</v>
      </c>
    </row>
    <row r="59" spans="2:8" ht="14.25" customHeight="1" x14ac:dyDescent="0.3">
      <c r="B59" s="2">
        <v>44909</v>
      </c>
      <c r="C59" s="1" t="s">
        <v>29</v>
      </c>
      <c r="D59" s="1" t="s">
        <v>30</v>
      </c>
      <c r="E59" s="1" t="s">
        <v>11</v>
      </c>
      <c r="F59" s="1" t="s">
        <v>8</v>
      </c>
      <c r="G59" s="1">
        <v>38000</v>
      </c>
      <c r="H59">
        <f t="shared" si="0"/>
        <v>789537</v>
      </c>
    </row>
    <row r="60" spans="2:8" ht="14.25" customHeight="1" x14ac:dyDescent="0.3">
      <c r="B60" s="2">
        <v>44910</v>
      </c>
      <c r="C60" s="1" t="s">
        <v>35</v>
      </c>
      <c r="D60" s="1" t="s">
        <v>13</v>
      </c>
      <c r="E60" s="1" t="s">
        <v>11</v>
      </c>
      <c r="F60" s="1" t="s">
        <v>14</v>
      </c>
      <c r="G60" s="1">
        <v>6878</v>
      </c>
      <c r="H60">
        <f t="shared" si="0"/>
        <v>782659</v>
      </c>
    </row>
    <row r="61" spans="2:8" ht="14.25" customHeight="1" x14ac:dyDescent="0.3">
      <c r="B61" s="2">
        <v>44914</v>
      </c>
      <c r="C61" s="1" t="s">
        <v>35</v>
      </c>
      <c r="D61" s="1" t="s">
        <v>13</v>
      </c>
      <c r="E61" s="1" t="s">
        <v>11</v>
      </c>
      <c r="F61" s="1" t="s">
        <v>14</v>
      </c>
      <c r="G61" s="1">
        <v>5446</v>
      </c>
      <c r="H61">
        <f t="shared" si="0"/>
        <v>777213</v>
      </c>
    </row>
    <row r="62" spans="2:8" ht="14.25" customHeight="1" x14ac:dyDescent="0.3">
      <c r="B62" s="2">
        <v>44914</v>
      </c>
      <c r="C62" s="1" t="s">
        <v>24</v>
      </c>
      <c r="D62" s="1" t="s">
        <v>16</v>
      </c>
      <c r="E62" s="1" t="s">
        <v>11</v>
      </c>
      <c r="F62" s="1" t="s">
        <v>8</v>
      </c>
      <c r="G62" s="1">
        <v>9800</v>
      </c>
      <c r="H62">
        <f t="shared" si="0"/>
        <v>767413</v>
      </c>
    </row>
    <row r="63" spans="2:8" ht="14.25" customHeight="1" x14ac:dyDescent="0.3">
      <c r="B63" s="2">
        <v>44915</v>
      </c>
      <c r="C63" s="1" t="s">
        <v>35</v>
      </c>
      <c r="D63" s="1" t="s">
        <v>13</v>
      </c>
      <c r="E63" s="1" t="s">
        <v>11</v>
      </c>
      <c r="F63" s="1" t="s">
        <v>14</v>
      </c>
      <c r="G63" s="1">
        <v>7616</v>
      </c>
      <c r="H63">
        <f t="shared" si="0"/>
        <v>759797</v>
      </c>
    </row>
    <row r="64" spans="2:8" ht="14.25" customHeight="1" x14ac:dyDescent="0.3">
      <c r="B64" s="2">
        <v>44915</v>
      </c>
      <c r="C64" s="1" t="s">
        <v>26</v>
      </c>
      <c r="D64" s="1" t="s">
        <v>10</v>
      </c>
      <c r="E64" s="1" t="s">
        <v>11</v>
      </c>
      <c r="F64" s="1" t="s">
        <v>14</v>
      </c>
      <c r="G64" s="1">
        <v>4300</v>
      </c>
      <c r="H64">
        <f t="shared" si="0"/>
        <v>755497</v>
      </c>
    </row>
    <row r="65" spans="2:8" ht="14.25" customHeight="1" x14ac:dyDescent="0.3">
      <c r="B65" s="2">
        <v>44917</v>
      </c>
      <c r="C65" s="1" t="s">
        <v>52</v>
      </c>
      <c r="D65" s="1" t="s">
        <v>10</v>
      </c>
      <c r="E65" s="1" t="s">
        <v>11</v>
      </c>
      <c r="F65" s="1" t="s">
        <v>14</v>
      </c>
      <c r="G65" s="1">
        <v>5718</v>
      </c>
      <c r="H65">
        <f t="shared" si="0"/>
        <v>749779</v>
      </c>
    </row>
    <row r="66" spans="2:8" ht="14.25" customHeight="1" x14ac:dyDescent="0.3">
      <c r="B66" s="2">
        <v>44920</v>
      </c>
      <c r="C66" s="1" t="s">
        <v>31</v>
      </c>
      <c r="D66" s="1" t="s">
        <v>23</v>
      </c>
      <c r="E66" s="1" t="s">
        <v>11</v>
      </c>
      <c r="F66" s="1" t="s">
        <v>8</v>
      </c>
      <c r="G66" s="1">
        <v>50000</v>
      </c>
      <c r="H66">
        <f t="shared" si="0"/>
        <v>699779</v>
      </c>
    </row>
    <row r="67" spans="2:8" ht="14.25" customHeight="1" x14ac:dyDescent="0.3">
      <c r="B67" s="2">
        <v>44921</v>
      </c>
      <c r="C67" s="1" t="s">
        <v>32</v>
      </c>
      <c r="D67" s="1" t="s">
        <v>23</v>
      </c>
      <c r="E67" s="1" t="s">
        <v>11</v>
      </c>
      <c r="F67" s="1" t="s">
        <v>14</v>
      </c>
      <c r="G67" s="1">
        <v>10000</v>
      </c>
      <c r="H67">
        <f t="shared" si="0"/>
        <v>689779</v>
      </c>
    </row>
    <row r="68" spans="2:8" ht="14.25" customHeight="1" x14ac:dyDescent="0.3">
      <c r="B68" s="2">
        <v>44921</v>
      </c>
      <c r="C68" s="1" t="s">
        <v>53</v>
      </c>
      <c r="D68" s="1" t="s">
        <v>13</v>
      </c>
      <c r="E68" s="1" t="s">
        <v>11</v>
      </c>
      <c r="F68" s="1" t="s">
        <v>8</v>
      </c>
      <c r="G68" s="1">
        <v>6383</v>
      </c>
      <c r="H68">
        <f t="shared" si="0"/>
        <v>683396</v>
      </c>
    </row>
    <row r="69" spans="2:8" ht="14.25" customHeight="1" x14ac:dyDescent="0.3">
      <c r="B69" s="2">
        <v>44922</v>
      </c>
      <c r="C69" s="1" t="s">
        <v>22</v>
      </c>
      <c r="D69" s="1" t="s">
        <v>23</v>
      </c>
      <c r="E69" s="1" t="s">
        <v>11</v>
      </c>
      <c r="F69" s="1" t="s">
        <v>8</v>
      </c>
      <c r="G69" s="1">
        <v>11670</v>
      </c>
      <c r="H69">
        <f t="shared" ref="H69:H74" si="1">IF(E69="Expenses",H68-G69,H68+G69)</f>
        <v>671726</v>
      </c>
    </row>
    <row r="70" spans="2:8" ht="14.25" customHeight="1" x14ac:dyDescent="0.3">
      <c r="B70" s="2">
        <v>44922</v>
      </c>
      <c r="C70" s="1" t="s">
        <v>21</v>
      </c>
      <c r="D70" s="1" t="s">
        <v>13</v>
      </c>
      <c r="E70" s="1" t="s">
        <v>11</v>
      </c>
      <c r="F70" s="1" t="s">
        <v>8</v>
      </c>
      <c r="G70" s="1">
        <v>8108</v>
      </c>
      <c r="H70">
        <f t="shared" si="1"/>
        <v>663618</v>
      </c>
    </row>
    <row r="71" spans="2:8" ht="14.25" customHeight="1" x14ac:dyDescent="0.3">
      <c r="B71" s="2">
        <v>44923</v>
      </c>
      <c r="C71" s="1" t="s">
        <v>21</v>
      </c>
      <c r="D71" s="1" t="s">
        <v>13</v>
      </c>
      <c r="E71" s="1" t="s">
        <v>11</v>
      </c>
      <c r="F71" s="1" t="s">
        <v>8</v>
      </c>
      <c r="G71" s="1">
        <v>6675</v>
      </c>
      <c r="H71">
        <f t="shared" si="1"/>
        <v>656943</v>
      </c>
    </row>
    <row r="72" spans="2:8" ht="14.25" customHeight="1" x14ac:dyDescent="0.3">
      <c r="B72" s="2">
        <v>44923</v>
      </c>
      <c r="C72" s="1" t="s">
        <v>20</v>
      </c>
      <c r="D72" s="1" t="s">
        <v>10</v>
      </c>
      <c r="E72" s="1" t="s">
        <v>11</v>
      </c>
      <c r="F72" s="1" t="s">
        <v>8</v>
      </c>
      <c r="G72" s="1">
        <v>65900</v>
      </c>
      <c r="H72">
        <f t="shared" si="1"/>
        <v>591043</v>
      </c>
    </row>
    <row r="73" spans="2:8" ht="14.25" customHeight="1" x14ac:dyDescent="0.3">
      <c r="B73" s="2">
        <v>44924</v>
      </c>
      <c r="C73" s="1" t="s">
        <v>54</v>
      </c>
      <c r="D73" s="1" t="s">
        <v>23</v>
      </c>
      <c r="E73" s="1" t="s">
        <v>11</v>
      </c>
      <c r="F73" s="1" t="s">
        <v>14</v>
      </c>
      <c r="G73" s="1">
        <v>6189</v>
      </c>
      <c r="H73">
        <f t="shared" si="1"/>
        <v>584854</v>
      </c>
    </row>
    <row r="74" spans="2:8" ht="14.25" customHeight="1" x14ac:dyDescent="0.3">
      <c r="B74" s="2">
        <v>44926</v>
      </c>
      <c r="C74" s="1" t="s">
        <v>36</v>
      </c>
      <c r="D74" s="1" t="s">
        <v>16</v>
      </c>
      <c r="E74" s="1" t="s">
        <v>11</v>
      </c>
      <c r="F74" s="1" t="s">
        <v>8</v>
      </c>
      <c r="G74" s="1">
        <v>1940</v>
      </c>
      <c r="H74">
        <f t="shared" si="1"/>
        <v>582914</v>
      </c>
    </row>
    <row r="75" spans="2:8" ht="14.25" customHeight="1" x14ac:dyDescent="0.25"/>
    <row r="76" spans="2:8" ht="14.25" customHeight="1" x14ac:dyDescent="0.25"/>
    <row r="77" spans="2:8" ht="14.25" customHeight="1" x14ac:dyDescent="0.25"/>
    <row r="78" spans="2:8" ht="14.25" customHeight="1" x14ac:dyDescent="0.25"/>
    <row r="79" spans="2:8" ht="14.25" customHeight="1" x14ac:dyDescent="0.25"/>
    <row r="80" spans="2:8"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row r="1001" ht="15.75" customHeight="1" x14ac:dyDescent="0.25"/>
  </sheetData>
  <dataValidations count="1">
    <dataValidation type="list" allowBlank="1" showErrorMessage="1" sqref="E3:E74" xr:uid="{00000000-0002-0000-0000-000000000000}">
      <formula1>"Income,Expenses"</formula1>
    </dataValidation>
  </dataValidations>
  <pageMargins left="0.7" right="0.7" top="0.75" bottom="0.75" header="0" footer="0"/>
  <pageSetup orientation="landscape"/>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1C5DBD-51F0-4615-A970-8289641BC353}">
  <dimension ref="A1"/>
  <sheetViews>
    <sheetView showGridLines="0" tabSelected="1" workbookViewId="0">
      <selection activeCell="N6" sqref="N6"/>
    </sheetView>
  </sheetViews>
  <sheetFormatPr defaultRowHeight="13.8"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Expenses By Month</vt:lpstr>
      <vt:lpstr>BudJect v Actual</vt:lpstr>
      <vt:lpstr>Expenses by Catagory</vt:lpstr>
      <vt:lpstr>Count of Spend on Expense Categ</vt:lpstr>
      <vt:lpstr>Expenses V Income</vt:lpstr>
      <vt:lpstr>Raw Data for Dashboard</vt:lpstr>
      <vt:lpstr>Dashboard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samak</dc:creator>
  <cp:lastModifiedBy>Phoebe Frema Asante</cp:lastModifiedBy>
  <dcterms:created xsi:type="dcterms:W3CDTF">2025-08-08T20:10:07Z</dcterms:created>
  <dcterms:modified xsi:type="dcterms:W3CDTF">2025-08-21T20:23:50Z</dcterms:modified>
</cp:coreProperties>
</file>